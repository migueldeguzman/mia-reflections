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ption A — Starter" sheetId="2" state="visible" r:id="rId2"/>
    <sheet xmlns:r="http://schemas.openxmlformats.org/officeDocument/2006/relationships" name="Option B — Growth" sheetId="3" state="visible" r:id="rId3"/>
    <sheet xmlns:r="http://schemas.openxmlformats.org/officeDocument/2006/relationships" name="Option C — Enterprise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.00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808080"/>
      <sz val="10"/>
    </font>
    <font>
      <name val="Calibri"/>
      <b val="1"/>
      <color rgb="002F5496"/>
      <sz val="11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color rgb="00808080"/>
      <sz val="10"/>
    </font>
    <font>
      <name val="Calibri"/>
      <b val="1"/>
      <color rgb="00FFFFFF"/>
      <sz val="13"/>
    </font>
    <font>
      <name val="Calibri"/>
      <b val="1"/>
      <sz val="12"/>
    </font>
    <font>
      <name val="Calibri"/>
      <i val="1"/>
      <color rgb="002F5496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wrapText="1"/>
    </xf>
    <xf numFmtId="0" fontId="5" fillId="0" borderId="1" pivotButton="0" quotePrefix="0" xfId="0"/>
    <xf numFmtId="3" fontId="5" fillId="4" borderId="1" pivotButton="0" quotePrefix="0" xfId="0"/>
    <xf numFmtId="9" fontId="5" fillId="4" borderId="1" pivotButton="0" quotePrefix="0" xfId="0"/>
    <xf numFmtId="164" fontId="5" fillId="4" borderId="1" pivotButton="0" quotePrefix="0" xfId="0"/>
    <xf numFmtId="165" fontId="5" fillId="4" borderId="1" pivotButton="0" quotePrefix="0" xfId="0"/>
    <xf numFmtId="166" fontId="5" fillId="4" borderId="1" pivotButton="0" quotePrefix="0" xfId="0"/>
    <xf numFmtId="3" fontId="5" fillId="0" borderId="1" pivotButton="0" quotePrefix="0" xfId="0"/>
    <xf numFmtId="166" fontId="5" fillId="5" borderId="1" pivotButton="0" quotePrefix="0" xfId="0"/>
    <xf numFmtId="0" fontId="6" fillId="0" borderId="1" pivotButton="0" quotePrefix="0" xfId="0"/>
    <xf numFmtId="166" fontId="6" fillId="6" borderId="1" pivotButton="0" quotePrefix="0" xfId="0"/>
    <xf numFmtId="0" fontId="5" fillId="4" borderId="1" pivotButton="0" quotePrefix="0" xfId="0"/>
    <xf numFmtId="3" fontId="5" fillId="5" borderId="1" pivotButton="0" quotePrefix="0" xfId="0"/>
    <xf numFmtId="4" fontId="5" fillId="5" borderId="1" pivotButton="0" quotePrefix="0" xfId="0"/>
    <xf numFmtId="4" fontId="6" fillId="6" borderId="1" pivotButton="0" quotePrefix="0" xfId="0"/>
    <xf numFmtId="0" fontId="8" fillId="3" borderId="1" pivotButton="0" quotePrefix="0" xfId="0"/>
    <xf numFmtId="0" fontId="0" fillId="3" borderId="1" pivotButton="0" quotePrefix="0" xfId="0"/>
    <xf numFmtId="4" fontId="5" fillId="0" borderId="1" pivotButton="0" quotePrefix="0" xfId="0"/>
    <xf numFmtId="0" fontId="9" fillId="0" borderId="1" pivotButton="0" quotePrefix="0" xfId="0"/>
    <xf numFmtId="165" fontId="9" fillId="6" borderId="1" pivotButton="0" quotePrefix="0" xfId="0"/>
    <xf numFmtId="165" fontId="6" fillId="6" borderId="1" pivotButton="0" quotePrefix="0" xfId="0"/>
    <xf numFmtId="165" fontId="5" fillId="0" borderId="1" applyAlignment="1" pivotButton="0" quotePrefix="0" xfId="0">
      <alignment horizontal="center"/>
    </xf>
    <xf numFmtId="165" fontId="5" fillId="6" borderId="1" applyAlignment="1" pivotButton="0" quotePrefix="0" xfId="0">
      <alignment horizontal="center"/>
    </xf>
    <xf numFmtId="0" fontId="3" fillId="0" borderId="0" pivotButton="0" quotePrefix="0" xfId="0"/>
    <xf numFmtId="0" fontId="5" fillId="0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8" customWidth="1" min="4" max="4"/>
    <col width="50" customWidth="1" min="5" max="5"/>
  </cols>
  <sheetData>
    <row r="1">
      <c r="A1" s="1" t="inlineStr">
        <is>
          <t>VESLA ERP — Cloud Cost Projection (Neon + Render)</t>
        </is>
      </c>
    </row>
    <row r="2">
      <c r="A2" s="2" t="inlineStr">
        <is>
          <t>Yellow cells = editable inputs. Change them and all calculations update automatically.</t>
        </is>
      </c>
    </row>
    <row r="4">
      <c r="A4" s="3" t="inlineStr">
        <is>
          <t>COMPANY ASSUMPTIONS</t>
        </is>
      </c>
      <c r="B4" s="3" t="n"/>
      <c r="C4" s="3" t="n"/>
      <c r="D4" s="3" t="n"/>
      <c r="E4" s="3" t="n"/>
    </row>
    <row r="5">
      <c r="A5" s="4" t="inlineStr">
        <is>
          <t>Parameter</t>
        </is>
      </c>
      <c r="B5" s="4" t="inlineStr">
        <is>
          <t>Value</t>
        </is>
      </c>
      <c r="C5" s="4" t="inlineStr"/>
      <c r="D5" s="4" t="inlineStr"/>
      <c r="E5" s="4" t="inlineStr">
        <is>
          <t>Notes</t>
        </is>
      </c>
    </row>
    <row r="6">
      <c r="A6" s="5" t="inlineStr">
        <is>
          <t>Number of companies</t>
        </is>
      </c>
      <c r="B6" s="6" t="n">
        <v>5</v>
      </c>
      <c r="C6" s="5" t="n"/>
      <c r="D6" s="5" t="n"/>
      <c r="E6" s="5" t="inlineStr">
        <is>
          <t>Total tenant count</t>
        </is>
      </c>
    </row>
    <row r="7">
      <c r="A7" s="5" t="inlineStr">
        <is>
          <t>Vehicles per company</t>
        </is>
      </c>
      <c r="B7" s="6" t="n">
        <v>200</v>
      </c>
      <c r="C7" s="5" t="n"/>
      <c r="D7" s="5" t="n"/>
      <c r="E7" s="5" t="inlineStr">
        <is>
          <t>Medium fleet = 100-300</t>
        </is>
      </c>
    </row>
    <row r="8">
      <c r="A8" s="5" t="inlineStr">
        <is>
          <t>Concurrent users per company (peak)</t>
        </is>
      </c>
      <c r="B8" s="6" t="n">
        <v>20</v>
      </c>
      <c r="C8" s="5" t="n"/>
      <c r="D8" s="5" t="n"/>
      <c r="E8" s="5" t="inlineStr">
        <is>
          <t>Staff on system during business hours</t>
        </is>
      </c>
    </row>
    <row r="9">
      <c r="A9" s="5" t="inlineStr">
        <is>
          <t>Active contracts per company/month</t>
        </is>
      </c>
      <c r="B9" s="6" t="n">
        <v>500</v>
      </c>
      <c r="C9" s="5" t="n"/>
      <c r="D9" s="5" t="n"/>
      <c r="E9" s="5" t="inlineStr">
        <is>
          <t>Bookings + rentals</t>
        </is>
      </c>
    </row>
    <row r="10">
      <c r="A10" s="5" t="inlineStr">
        <is>
          <t>Invoices per company/month</t>
        </is>
      </c>
      <c r="B10" s="6" t="n">
        <v>500</v>
      </c>
      <c r="C10" s="5" t="n"/>
      <c r="D10" s="5" t="n"/>
      <c r="E10" s="5" t="inlineStr">
        <is>
          <t>Billing events</t>
        </is>
      </c>
    </row>
    <row r="11">
      <c r="A11" s="5" t="inlineStr">
        <is>
          <t>TARS fines per company/month</t>
        </is>
      </c>
      <c r="B11" s="6" t="n">
        <v>200</v>
      </c>
      <c r="C11" s="5" t="n"/>
      <c r="D11" s="5" t="n"/>
      <c r="E11" s="5" t="inlineStr">
        <is>
          <t>Traffic fines processed</t>
        </is>
      </c>
    </row>
    <row r="12">
      <c r="A12" s="5" t="inlineStr">
        <is>
          <t>Employees per company (HR)</t>
        </is>
      </c>
      <c r="B12" s="6" t="n">
        <v>50</v>
      </c>
      <c r="C12" s="5" t="n"/>
      <c r="D12" s="5" t="n"/>
      <c r="E12" s="5" t="inlineStr">
        <is>
          <t>HR/payroll records</t>
        </is>
      </c>
    </row>
    <row r="13">
      <c r="A13" s="5" t="inlineStr">
        <is>
          <t>Customers per company</t>
        </is>
      </c>
      <c r="B13" s="6" t="n">
        <v>2000</v>
      </c>
      <c r="C13" s="5" t="n"/>
      <c r="D13" s="5" t="n"/>
      <c r="E13" s="5" t="inlineStr">
        <is>
          <t>Growing customer base</t>
        </is>
      </c>
    </row>
    <row r="15">
      <c r="A15" s="3" t="inlineStr">
        <is>
          <t>USAGE PATTERN</t>
        </is>
      </c>
      <c r="B15" s="3" t="n"/>
      <c r="C15" s="3" t="n"/>
      <c r="D15" s="3" t="n"/>
      <c r="E15" s="3" t="n"/>
    </row>
    <row r="16">
      <c r="A16" s="4" t="inlineStr">
        <is>
          <t>Parameter</t>
        </is>
      </c>
      <c r="B16" s="4" t="inlineStr">
        <is>
          <t>Value</t>
        </is>
      </c>
      <c r="C16" s="4" t="inlineStr">
        <is>
          <t>Unit</t>
        </is>
      </c>
      <c r="D16" s="4" t="inlineStr"/>
      <c r="E16" s="4" t="inlineStr">
        <is>
          <t>Notes</t>
        </is>
      </c>
    </row>
    <row r="17">
      <c r="A17" s="5" t="inlineStr">
        <is>
          <t>Business hours per day</t>
        </is>
      </c>
      <c r="B17" s="6" t="n">
        <v>14</v>
      </c>
      <c r="C17" s="5" t="inlineStr">
        <is>
          <t>hours</t>
        </is>
      </c>
      <c r="D17" s="5" t="n"/>
      <c r="E17" s="5" t="inlineStr">
        <is>
          <t>Typical UAE: 8am-10pm</t>
        </is>
      </c>
    </row>
    <row r="18">
      <c r="A18" s="5" t="inlineStr">
        <is>
          <t>Days per month</t>
        </is>
      </c>
      <c r="B18" s="6" t="n">
        <v>30</v>
      </c>
      <c r="C18" s="5" t="inlineStr">
        <is>
          <t>days</t>
        </is>
      </c>
      <c r="D18" s="5" t="n"/>
      <c r="E18" s="5" t="inlineStr">
        <is>
          <t>Calendar month</t>
        </is>
      </c>
    </row>
    <row r="19">
      <c r="A19" s="5" t="inlineStr">
        <is>
          <t>Off-peak hours per day</t>
        </is>
      </c>
      <c r="B19" s="6" t="n">
        <v>10</v>
      </c>
      <c r="C19" s="5" t="inlineStr">
        <is>
          <t>hours</t>
        </is>
      </c>
      <c r="D19" s="5" t="n"/>
      <c r="E19" s="5">
        <f>24 minus business hours</f>
        <v/>
      </c>
    </row>
    <row r="20">
      <c r="A20" s="5" t="inlineStr">
        <is>
          <t>Weekend/holiday reduction</t>
        </is>
      </c>
      <c r="B20" s="7" t="n">
        <v>0.3</v>
      </c>
      <c r="C20" s="5" t="inlineStr"/>
      <c r="D20" s="5" t="n"/>
      <c r="E20" s="5" t="inlineStr">
        <is>
          <t>30% less traffic on weekends</t>
        </is>
      </c>
    </row>
    <row r="22">
      <c r="A22" s="3" t="inlineStr">
        <is>
          <t>NEON PRICING (from neon.com/docs — Aug 2025 model)</t>
        </is>
      </c>
      <c r="B22" s="3" t="n"/>
      <c r="C22" s="3" t="n"/>
      <c r="D22" s="3" t="n"/>
      <c r="E22" s="3" t="n"/>
    </row>
    <row r="23">
      <c r="A23" s="4" t="inlineStr">
        <is>
          <t>Parameter</t>
        </is>
      </c>
      <c r="B23" s="4" t="inlineStr">
        <is>
          <t>Launch Plan</t>
        </is>
      </c>
      <c r="C23" s="4" t="inlineStr">
        <is>
          <t>Scale Plan</t>
        </is>
      </c>
      <c r="D23" s="4" t="inlineStr"/>
      <c r="E23" s="4" t="inlineStr">
        <is>
          <t>Source</t>
        </is>
      </c>
    </row>
    <row r="24">
      <c r="A24" s="5" t="inlineStr">
        <is>
          <t>Compute rate (per CU-hour)</t>
        </is>
      </c>
      <c r="B24" s="8" t="n">
        <v>0.106</v>
      </c>
      <c r="C24" s="8" t="n">
        <v>0.222</v>
      </c>
      <c r="D24" s="5" t="n"/>
      <c r="E24" s="5" t="inlineStr">
        <is>
          <t>neon.com/docs/introduction/plans</t>
        </is>
      </c>
    </row>
    <row r="25">
      <c r="A25" s="5" t="inlineStr">
        <is>
          <t>Storage rate (per GB-month)</t>
        </is>
      </c>
      <c r="B25" s="8" t="n">
        <v>0.35</v>
      </c>
      <c r="C25" s="8" t="n">
        <v>0.35</v>
      </c>
      <c r="D25" s="5" t="n"/>
      <c r="E25" s="5" t="inlineStr">
        <is>
          <t>Same on both plans</t>
        </is>
      </c>
    </row>
    <row r="26">
      <c r="A26" s="5" t="inlineStr">
        <is>
          <t>Instant Restore (per GB-month)</t>
        </is>
      </c>
      <c r="B26" s="8" t="n">
        <v>0.2</v>
      </c>
      <c r="C26" s="8" t="n">
        <v>0.2</v>
      </c>
      <c r="D26" s="5" t="n"/>
      <c r="E26" s="5" t="inlineStr">
        <is>
          <t>For point-in-time recovery</t>
        </is>
      </c>
    </row>
    <row r="27">
      <c r="A27" s="5" t="inlineStr">
        <is>
          <t>Network transfer included</t>
        </is>
      </c>
      <c r="B27" s="6" t="n">
        <v>100</v>
      </c>
      <c r="C27" s="6" t="n">
        <v>100</v>
      </c>
      <c r="D27" s="5" t="n"/>
      <c r="E27" s="5" t="inlineStr">
        <is>
          <t>GB — then $0.10/GB overage</t>
        </is>
      </c>
    </row>
    <row r="28">
      <c r="A28" s="5" t="inlineStr">
        <is>
          <t>Extra branch (per branch-month)</t>
        </is>
      </c>
      <c r="B28" s="8" t="n">
        <v>1.5</v>
      </c>
      <c r="C28" s="8" t="n">
        <v>1.5</v>
      </c>
      <c r="D28" s="5" t="n"/>
      <c r="E28" s="5" t="inlineStr">
        <is>
          <t>Beyond plan included branches</t>
        </is>
      </c>
    </row>
    <row r="30">
      <c r="A30" s="3" t="inlineStr">
        <is>
          <t>RENDER PRICING (render.com/docs — current tiers)</t>
        </is>
      </c>
      <c r="B30" s="3" t="n"/>
      <c r="C30" s="3" t="n"/>
      <c r="D30" s="3" t="n"/>
      <c r="E30" s="3" t="n"/>
    </row>
    <row r="31">
      <c r="A31" s="4" t="inlineStr">
        <is>
          <t>Instance Type</t>
        </is>
      </c>
      <c r="B31" s="4" t="inlineStr">
        <is>
          <t>Monthly Cost</t>
        </is>
      </c>
      <c r="C31" s="4" t="inlineStr">
        <is>
          <t>CPU</t>
        </is>
      </c>
      <c r="D31" s="4" t="inlineStr">
        <is>
          <t>RAM</t>
        </is>
      </c>
      <c r="E31" s="4" t="inlineStr">
        <is>
          <t>Notes</t>
        </is>
      </c>
    </row>
    <row r="32">
      <c r="A32" s="5" t="inlineStr">
        <is>
          <t>Free</t>
        </is>
      </c>
      <c r="B32" s="9" t="n">
        <v>0</v>
      </c>
      <c r="C32" s="5" t="inlineStr">
        <is>
          <t>0.1</t>
        </is>
      </c>
      <c r="D32" s="5" t="inlineStr">
        <is>
          <t>512 MB</t>
        </is>
      </c>
      <c r="E32" s="5" t="inlineStr">
        <is>
          <t>Spins down after 15min idle — NOT for production</t>
        </is>
      </c>
    </row>
    <row r="33">
      <c r="A33" s="5" t="inlineStr">
        <is>
          <t>Starter</t>
        </is>
      </c>
      <c r="B33" s="9" t="n">
        <v>7</v>
      </c>
      <c r="C33" s="5" t="inlineStr">
        <is>
          <t>0.5</t>
        </is>
      </c>
      <c r="D33" s="5" t="inlineStr">
        <is>
          <t>512 MB</t>
        </is>
      </c>
      <c r="E33" s="5" t="inlineStr">
        <is>
          <t>Hobby / background workers</t>
        </is>
      </c>
    </row>
    <row r="34">
      <c r="A34" s="5" t="inlineStr">
        <is>
          <t>Standard</t>
        </is>
      </c>
      <c r="B34" s="9" t="n">
        <v>25</v>
      </c>
      <c r="C34" s="5" t="inlineStr">
        <is>
          <t>1</t>
        </is>
      </c>
      <c r="D34" s="5" t="inlineStr">
        <is>
          <t>2 GB</t>
        </is>
      </c>
      <c r="E34" s="5" t="inlineStr">
        <is>
          <t>Good starting point for 5 medium clients</t>
        </is>
      </c>
    </row>
    <row r="35">
      <c r="A35" s="5" t="inlineStr">
        <is>
          <t>Pro</t>
        </is>
      </c>
      <c r="B35" s="9" t="n">
        <v>85</v>
      </c>
      <c r="C35" s="5" t="inlineStr">
        <is>
          <t>2</t>
        </is>
      </c>
      <c r="D35" s="5" t="inlineStr">
        <is>
          <t>4 GB</t>
        </is>
      </c>
      <c r="E35" s="5" t="inlineStr">
        <is>
          <t>When Standard CPU maxes out</t>
        </is>
      </c>
    </row>
    <row r="36">
      <c r="A36" s="5" t="inlineStr">
        <is>
          <t>Pro Plus</t>
        </is>
      </c>
      <c r="B36" s="9" t="n">
        <v>175</v>
      </c>
      <c r="C36" s="5" t="inlineStr">
        <is>
          <t>4</t>
        </is>
      </c>
      <c r="D36" s="5" t="inlineStr">
        <is>
          <t>8 GB</t>
        </is>
      </c>
      <c r="E36" s="5" t="inlineStr">
        <is>
          <t>High concurrency / heavy queries</t>
        </is>
      </c>
    </row>
    <row r="37">
      <c r="A37" s="5" t="inlineStr">
        <is>
          <t>Pro Max</t>
        </is>
      </c>
      <c r="B37" s="9" t="n">
        <v>225</v>
      </c>
      <c r="C37" s="5" t="inlineStr">
        <is>
          <t>4</t>
        </is>
      </c>
      <c r="D37" s="5" t="inlineStr">
        <is>
          <t>16 GB</t>
        </is>
      </c>
      <c r="E37" s="5" t="inlineStr">
        <is>
          <t>Memory-intensive workloads</t>
        </is>
      </c>
    </row>
    <row r="38">
      <c r="A38" s="5" t="inlineStr">
        <is>
          <t>Pro Ultra</t>
        </is>
      </c>
      <c r="B38" s="9" t="n">
        <v>450</v>
      </c>
      <c r="C38" s="5" t="inlineStr">
        <is>
          <t>8</t>
        </is>
      </c>
      <c r="D38" s="5" t="inlineStr">
        <is>
          <t>32 GB</t>
        </is>
      </c>
      <c r="E38" s="5" t="inlineStr">
        <is>
          <t>Enterprise scale</t>
        </is>
      </c>
    </row>
    <row r="40">
      <c r="A40" s="3" t="inlineStr">
        <is>
          <t>DATABASE SIZE ESTIMATION</t>
        </is>
      </c>
      <c r="B40" s="3" t="n"/>
      <c r="C40" s="3" t="n"/>
      <c r="D40" s="3" t="n"/>
      <c r="E40" s="3" t="n"/>
    </row>
    <row r="41">
      <c r="A41" s="4" t="inlineStr">
        <is>
          <t>Data Category</t>
        </is>
      </c>
      <c r="B41" s="4" t="inlineStr">
        <is>
          <t>GB per Company</t>
        </is>
      </c>
      <c r="C41" s="4" t="inlineStr">
        <is>
          <t>× Companies</t>
        </is>
      </c>
      <c r="D41" s="4" t="inlineStr">
        <is>
          <t>Total GB</t>
        </is>
      </c>
      <c r="E41" s="4" t="inlineStr">
        <is>
          <t>Basis</t>
        </is>
      </c>
    </row>
    <row r="42">
      <c r="A42" s="5" t="inlineStr">
        <is>
          <t>Core data (vehicles, contracts, customers, invoices)</t>
        </is>
      </c>
      <c r="B42" s="10" t="n">
        <v>1.8</v>
      </c>
      <c r="C42" s="11">
        <f>B6</f>
        <v/>
      </c>
      <c r="D42" s="12">
        <f>B42*C42</f>
        <v/>
      </c>
      <c r="E42" s="5" t="inlineStr">
        <is>
          <t>275 Prisma models worth of transactional data</t>
        </is>
      </c>
    </row>
    <row r="43">
      <c r="A43" s="5" t="inlineStr">
        <is>
          <t>TARS fines + Salik historical</t>
        </is>
      </c>
      <c r="B43" s="10" t="n">
        <v>0.5</v>
      </c>
      <c r="C43" s="11">
        <f>B6</f>
        <v/>
      </c>
      <c r="D43" s="12">
        <f>B43*C43</f>
        <v/>
      </c>
      <c r="E43" s="5" t="inlineStr">
        <is>
          <t>Monthly fine imports accumulate</t>
        </is>
      </c>
    </row>
    <row r="44">
      <c r="A44" s="5" t="inlineStr">
        <is>
          <t>HR + payroll + attendance</t>
        </is>
      </c>
      <c r="B44" s="10" t="n">
        <v>0.3</v>
      </c>
      <c r="C44" s="11">
        <f>B6</f>
        <v/>
      </c>
      <c r="D44" s="12">
        <f>B44*C44</f>
        <v/>
      </c>
      <c r="E44" s="5" t="inlineStr">
        <is>
          <t>50 employees × daily records</t>
        </is>
      </c>
    </row>
    <row r="45">
      <c r="A45" s="5" t="inlineStr">
        <is>
          <t>Service center + parts inventory</t>
        </is>
      </c>
      <c r="B45" s="10" t="n">
        <v>0.3</v>
      </c>
      <c r="C45" s="11">
        <f>B6</f>
        <v/>
      </c>
      <c r="D45" s="12">
        <f>B45*C45</f>
        <v/>
      </c>
      <c r="E45" s="5" t="inlineStr">
        <is>
          <t>Work orders, parts catalog</t>
        </is>
      </c>
    </row>
    <row r="46">
      <c r="A46" s="5" t="inlineStr">
        <is>
          <t>Index overhead (628 indexes)</t>
        </is>
      </c>
      <c r="B46" s="10" t="n">
        <v>1.5</v>
      </c>
      <c r="C46" s="11">
        <f>B6</f>
        <v/>
      </c>
      <c r="D46" s="12">
        <f>B46*C46</f>
        <v/>
      </c>
      <c r="E46" s="5" t="inlineStr">
        <is>
          <t>~40-50% overhead on data size is typical for heavy indexing</t>
        </is>
      </c>
    </row>
    <row r="47">
      <c r="A47" s="13" t="inlineStr">
        <is>
          <t>TOTAL STORAGE</t>
        </is>
      </c>
      <c r="B47" s="13" t="n"/>
      <c r="C47" s="13" t="n"/>
      <c r="D47" s="14">
        <f>SUM(D42:D46)</f>
        <v/>
      </c>
      <c r="E47" s="13" t="inlineStr">
        <is>
          <t>GB across all companies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OPTION A: Starter Production (~$81/mo)</t>
        </is>
      </c>
    </row>
    <row r="2">
      <c r="A2" s="2" t="inlineStr">
        <is>
          <t>Best for: First 5 clients onboarding. Neon Launch plan + Render Standard.</t>
        </is>
      </c>
    </row>
    <row r="4">
      <c r="A4" s="3" t="inlineStr">
        <is>
          <t>NEON — LAUNCH PLAN (Compute)</t>
        </is>
      </c>
      <c r="B4" s="3" t="n"/>
      <c r="C4" s="3" t="n"/>
      <c r="D4" s="3" t="n"/>
      <c r="E4" s="3" t="n"/>
    </row>
    <row r="5">
      <c r="A5" s="4" t="inlineStr">
        <is>
          <t>Component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Cost</t>
        </is>
      </c>
      <c r="E5" s="4" t="inlineStr">
        <is>
          <t>Formula</t>
        </is>
      </c>
    </row>
    <row r="6">
      <c r="A6" s="5" t="inlineStr">
        <is>
          <t>Average CU size (business hours)</t>
        </is>
      </c>
      <c r="B6" s="15" t="n">
        <v>1</v>
      </c>
      <c r="C6" s="5" t="inlineStr">
        <is>
          <t>CU</t>
        </is>
      </c>
      <c r="D6" s="5" t="n"/>
      <c r="E6" s="5" t="n"/>
    </row>
    <row r="7">
      <c r="A7" s="5" t="inlineStr">
        <is>
          <t>Average CU size (off-peak)</t>
        </is>
      </c>
      <c r="B7" s="15" t="n">
        <v>0.25</v>
      </c>
      <c r="C7" s="5" t="inlineStr">
        <is>
          <t>CU</t>
        </is>
      </c>
      <c r="D7" s="5" t="n"/>
      <c r="E7" s="5" t="n"/>
    </row>
    <row r="8">
      <c r="A8" s="5" t="inlineStr">
        <is>
          <t>Business hours/month</t>
        </is>
      </c>
      <c r="B8" s="16">
        <f>Inputs!B17*Inputs!B18</f>
        <v/>
      </c>
      <c r="C8" s="5" t="inlineStr">
        <is>
          <t>hours</t>
        </is>
      </c>
      <c r="D8" s="5" t="n"/>
      <c r="E8" s="5">
        <f>Inputs!B17 hrs × Inputs!B18 days</f>
        <v/>
      </c>
    </row>
    <row r="9">
      <c r="A9" s="5" t="inlineStr">
        <is>
          <t>Off-peak hours/month</t>
        </is>
      </c>
      <c r="B9" s="16">
        <f>Inputs!B19*Inputs!B18</f>
        <v/>
      </c>
      <c r="C9" s="5" t="inlineStr">
        <is>
          <t>hours</t>
        </is>
      </c>
      <c r="D9" s="5" t="n"/>
      <c r="E9" s="5" t="n"/>
    </row>
    <row r="10">
      <c r="A10" s="5" t="inlineStr">
        <is>
          <t>Business CU-hours</t>
        </is>
      </c>
      <c r="B10" s="16">
        <f>B6*B8</f>
        <v/>
      </c>
      <c r="C10" s="5" t="inlineStr">
        <is>
          <t>CU-hrs</t>
        </is>
      </c>
      <c r="D10" s="17">
        <f>B10*Inputs!B24</f>
        <v/>
      </c>
      <c r="E10" s="5" t="inlineStr">
        <is>
          <t>CU-hrs × $B24 rate</t>
        </is>
      </c>
    </row>
    <row r="11">
      <c r="A11" s="5" t="inlineStr">
        <is>
          <t>Off-peak CU-hours</t>
        </is>
      </c>
      <c r="B11" s="16">
        <f>B7*B9</f>
        <v/>
      </c>
      <c r="C11" s="5" t="inlineStr">
        <is>
          <t>CU-hrs</t>
        </is>
      </c>
      <c r="D11" s="17">
        <f>B11*Inputs!B24</f>
        <v/>
      </c>
      <c r="E11" s="5" t="n"/>
    </row>
    <row r="12">
      <c r="A12" s="13" t="inlineStr">
        <is>
          <t>COMPUTE SUBTOTAL</t>
        </is>
      </c>
      <c r="B12" s="13" t="n"/>
      <c r="C12" s="13" t="n"/>
      <c r="D12" s="18">
        <f>D10+D11</f>
        <v/>
      </c>
      <c r="E12" s="13" t="n"/>
    </row>
    <row r="14">
      <c r="A14" s="3" t="inlineStr">
        <is>
          <t>NEON — LAUNCH PLAN (Storage &amp; Other)</t>
        </is>
      </c>
      <c r="B14" s="3" t="n"/>
      <c r="C14" s="3" t="n"/>
      <c r="D14" s="3" t="n"/>
      <c r="E14" s="3" t="n"/>
    </row>
    <row r="15">
      <c r="A15" s="4" t="inlineStr">
        <is>
          <t>Component</t>
        </is>
      </c>
      <c r="B15" s="4" t="inlineStr">
        <is>
          <t>Value</t>
        </is>
      </c>
      <c r="C15" s="4" t="inlineStr">
        <is>
          <t>Unit</t>
        </is>
      </c>
      <c r="D15" s="4" t="inlineStr">
        <is>
          <t>Cost</t>
        </is>
      </c>
      <c r="E15" s="4" t="inlineStr">
        <is>
          <t>Formula</t>
        </is>
      </c>
    </row>
    <row r="16">
      <c r="A16" s="5" t="inlineStr">
        <is>
          <t>Total storage</t>
        </is>
      </c>
      <c r="B16" s="12">
        <f>Inputs!D47</f>
        <v/>
      </c>
      <c r="C16" s="5" t="inlineStr">
        <is>
          <t>GB</t>
        </is>
      </c>
      <c r="D16" s="17">
        <f>B16*Inputs!B25</f>
        <v/>
      </c>
      <c r="E16" s="5" t="n"/>
    </row>
    <row r="17">
      <c r="A17" s="5" t="inlineStr">
        <is>
          <t>Instant Restore (est. monthly changes)</t>
        </is>
      </c>
      <c r="B17" s="10" t="n">
        <v>5</v>
      </c>
      <c r="C17" s="5" t="inlineStr">
        <is>
          <t>GB</t>
        </is>
      </c>
      <c r="D17" s="17">
        <f>B17*Inputs!B26</f>
        <v/>
      </c>
      <c r="E17" s="5" t="n"/>
    </row>
    <row r="18">
      <c r="A18" s="5" t="inlineStr">
        <is>
          <t>Network transfer</t>
        </is>
      </c>
      <c r="B18" s="5" t="inlineStr">
        <is>
          <t>&lt; 100 GB included</t>
        </is>
      </c>
      <c r="C18" s="5" t="n"/>
      <c r="D18" s="17" t="n">
        <v>0</v>
      </c>
      <c r="E18" s="5" t="n"/>
    </row>
    <row r="19">
      <c r="A19" s="13" t="inlineStr">
        <is>
          <t>NEON TOTAL</t>
        </is>
      </c>
      <c r="B19" s="13" t="n"/>
      <c r="C19" s="13" t="n"/>
      <c r="D19" s="18">
        <f>D12+D16+D17+D18</f>
        <v/>
      </c>
      <c r="E19" s="13" t="n"/>
    </row>
    <row r="21">
      <c r="A21" s="3" t="inlineStr">
        <is>
          <t>RENDER — SERVICES</t>
        </is>
      </c>
      <c r="B21" s="3" t="n"/>
      <c r="C21" s="3" t="n"/>
      <c r="D21" s="3" t="n"/>
      <c r="E21" s="3" t="n"/>
    </row>
    <row r="22">
      <c r="A22" s="4" t="inlineStr">
        <is>
          <t>Service</t>
        </is>
      </c>
      <c r="B22" s="4" t="inlineStr">
        <is>
          <t>Instance Type</t>
        </is>
      </c>
      <c r="C22" s="4" t="inlineStr">
        <is>
          <t>Instances</t>
        </is>
      </c>
      <c r="D22" s="4" t="inlineStr">
        <is>
          <t>Cost</t>
        </is>
      </c>
      <c r="E22" s="4" t="inlineStr">
        <is>
          <t>Notes</t>
        </is>
      </c>
    </row>
    <row r="23">
      <c r="A23" s="5" t="inlineStr">
        <is>
          <t>Backend API (Node + Express + Prisma)</t>
        </is>
      </c>
      <c r="B23" s="5" t="inlineStr">
        <is>
          <t>Standard</t>
        </is>
      </c>
      <c r="C23" s="15" t="n">
        <v>1</v>
      </c>
      <c r="D23" s="17">
        <f>C23*Inputs!B34</f>
        <v/>
      </c>
      <c r="E23" s="5" t="inlineStr">
        <is>
          <t>1 CPU, 2 GB RAM</t>
        </is>
      </c>
    </row>
    <row r="24">
      <c r="A24" s="5" t="inlineStr">
        <is>
          <t>Frontend (React + Vite)</t>
        </is>
      </c>
      <c r="B24" s="5" t="inlineStr">
        <is>
          <t>Static Site</t>
        </is>
      </c>
      <c r="C24" s="5" t="n">
        <v>1</v>
      </c>
      <c r="D24" s="17" t="n">
        <v>0</v>
      </c>
      <c r="E24" s="5" t="inlineStr">
        <is>
          <t>Free on Render</t>
        </is>
      </c>
    </row>
    <row r="25">
      <c r="A25" s="5" t="inlineStr">
        <is>
          <t>Background Worker (TARS, Speed Sync, crons)</t>
        </is>
      </c>
      <c r="B25" s="5" t="inlineStr">
        <is>
          <t>Starter</t>
        </is>
      </c>
      <c r="C25" s="15" t="n">
        <v>1</v>
      </c>
      <c r="D25" s="17">
        <f>C25*Inputs!B33</f>
        <v/>
      </c>
      <c r="E25" s="5" t="inlineStr">
        <is>
          <t>0.5 CPU, 512 MB</t>
        </is>
      </c>
    </row>
    <row r="26">
      <c r="A26" s="13" t="inlineStr">
        <is>
          <t>RENDER TOTAL</t>
        </is>
      </c>
      <c r="B26" s="13" t="n"/>
      <c r="C26" s="13" t="n"/>
      <c r="D26" s="18">
        <f>D23+D24+D25</f>
        <v/>
      </c>
      <c r="E26" s="13" t="n"/>
    </row>
    <row r="28">
      <c r="A28" s="19" t="inlineStr">
        <is>
          <t>OPTION A — GRAND TOTAL</t>
        </is>
      </c>
      <c r="B28" s="20" t="n"/>
      <c r="C28" s="20" t="n"/>
      <c r="D28" s="20" t="n"/>
      <c r="E28" s="20" t="n"/>
    </row>
    <row r="29">
      <c r="A29" s="5" t="inlineStr">
        <is>
          <t>Neon (Database)</t>
        </is>
      </c>
      <c r="B29" s="5" t="n"/>
      <c r="C29" s="5" t="n"/>
      <c r="D29" s="21">
        <f>D19</f>
        <v/>
      </c>
      <c r="E29" s="5" t="n"/>
    </row>
    <row r="30">
      <c r="A30" s="5" t="inlineStr">
        <is>
          <t>Render (Hosting)</t>
        </is>
      </c>
      <c r="B30" s="5" t="n"/>
      <c r="C30" s="5" t="n"/>
      <c r="D30" s="21">
        <f>D26</f>
        <v/>
      </c>
      <c r="E30" s="5" t="n"/>
    </row>
    <row r="31">
      <c r="A31" s="22" t="inlineStr">
        <is>
          <t>TOTAL PER MONTH</t>
        </is>
      </c>
      <c r="B31" s="22" t="n"/>
      <c r="C31" s="22" t="n"/>
      <c r="D31" s="23">
        <f>D19+D26</f>
        <v/>
      </c>
      <c r="E31" s="22" t="n"/>
    </row>
    <row r="32">
      <c r="A32" s="13" t="inlineStr">
        <is>
          <t>TOTAL PER YEAR</t>
        </is>
      </c>
      <c r="B32" s="13" t="n"/>
      <c r="C32" s="13" t="n"/>
      <c r="D32" s="24">
        <f>D31*12</f>
        <v/>
      </c>
      <c r="E32" s="13" t="n"/>
    </row>
    <row r="33">
      <c r="A33" s="13" t="inlineStr">
        <is>
          <t>PER COMPANY / MONTH</t>
        </is>
      </c>
      <c r="B33" s="13" t="n"/>
      <c r="C33" s="13" t="n"/>
      <c r="D33" s="24">
        <f>D31/Inputs!B6</f>
        <v/>
      </c>
      <c r="E33" s="13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OPTION B: Growth Production (~$244/mo)</t>
        </is>
      </c>
    </row>
    <row r="2">
      <c r="A2" s="2" t="inlineStr">
        <is>
          <t>Best for: 5 active companies using daily. Neon Launch (higher CU) + Render Pro.</t>
        </is>
      </c>
    </row>
    <row r="4">
      <c r="A4" s="3" t="inlineStr">
        <is>
          <t>NEON — LAUNCH PLAN (Higher Compute)</t>
        </is>
      </c>
      <c r="B4" s="3" t="n"/>
      <c r="C4" s="3" t="n"/>
      <c r="D4" s="3" t="n"/>
      <c r="E4" s="3" t="n"/>
    </row>
    <row r="5">
      <c r="A5" s="4" t="inlineStr">
        <is>
          <t>Component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Cost</t>
        </is>
      </c>
      <c r="E5" s="4" t="inlineStr">
        <is>
          <t>Formula</t>
        </is>
      </c>
    </row>
    <row r="6">
      <c r="A6" s="5" t="inlineStr">
        <is>
          <t>Average CU size (business hours)</t>
        </is>
      </c>
      <c r="B6" s="15" t="n">
        <v>2</v>
      </c>
      <c r="C6" s="5" t="inlineStr">
        <is>
          <t>CU</t>
        </is>
      </c>
      <c r="D6" s="5" t="n"/>
      <c r="E6" s="5" t="n"/>
    </row>
    <row r="7">
      <c r="A7" s="5" t="inlineStr">
        <is>
          <t>Average CU size (off-peak)</t>
        </is>
      </c>
      <c r="B7" s="15" t="n">
        <v>0.5</v>
      </c>
      <c r="C7" s="5" t="inlineStr">
        <is>
          <t>CU</t>
        </is>
      </c>
      <c r="D7" s="5" t="n"/>
      <c r="E7" s="5" t="n"/>
    </row>
    <row r="8">
      <c r="A8" s="5" t="inlineStr">
        <is>
          <t>Business hours/month</t>
        </is>
      </c>
      <c r="B8" s="16">
        <f>Inputs!B17*Inputs!B18</f>
        <v/>
      </c>
      <c r="C8" s="5" t="inlineStr">
        <is>
          <t>hours</t>
        </is>
      </c>
      <c r="D8" s="5" t="n"/>
      <c r="E8" s="5" t="n"/>
    </row>
    <row r="9">
      <c r="A9" s="5" t="inlineStr">
        <is>
          <t>Off-peak hours/month</t>
        </is>
      </c>
      <c r="B9" s="16">
        <f>Inputs!B19*Inputs!B18</f>
        <v/>
      </c>
      <c r="C9" s="5" t="inlineStr">
        <is>
          <t>hours</t>
        </is>
      </c>
      <c r="D9" s="5" t="n"/>
      <c r="E9" s="5" t="n"/>
    </row>
    <row r="10">
      <c r="A10" s="5" t="inlineStr">
        <is>
          <t>Business CU-hours</t>
        </is>
      </c>
      <c r="B10" s="16">
        <f>B6*B8</f>
        <v/>
      </c>
      <c r="C10" s="5" t="inlineStr">
        <is>
          <t>CU-hrs</t>
        </is>
      </c>
      <c r="D10" s="17">
        <f>B10*Inputs!B24</f>
        <v/>
      </c>
      <c r="E10" s="5" t="n"/>
    </row>
    <row r="11">
      <c r="A11" s="5" t="inlineStr">
        <is>
          <t>Off-peak CU-hours</t>
        </is>
      </c>
      <c r="B11" s="16">
        <f>B7*B9</f>
        <v/>
      </c>
      <c r="C11" s="5" t="inlineStr">
        <is>
          <t>CU-hrs</t>
        </is>
      </c>
      <c r="D11" s="17">
        <f>B11*Inputs!B24</f>
        <v/>
      </c>
      <c r="E11" s="5" t="n"/>
    </row>
    <row r="12">
      <c r="A12" s="13" t="inlineStr">
        <is>
          <t>COMPUTE SUBTOTAL</t>
        </is>
      </c>
      <c r="B12" s="13" t="n"/>
      <c r="C12" s="13" t="n"/>
      <c r="D12" s="18">
        <f>D10+D11</f>
        <v/>
      </c>
      <c r="E12" s="13" t="n"/>
    </row>
    <row r="14">
      <c r="A14" s="3" t="inlineStr">
        <is>
          <t>NEON — Storage &amp; Other</t>
        </is>
      </c>
      <c r="B14" s="3" t="n"/>
      <c r="C14" s="3" t="n"/>
      <c r="D14" s="3" t="n"/>
      <c r="E14" s="3" t="n"/>
    </row>
    <row r="15">
      <c r="A15" s="4" t="inlineStr">
        <is>
          <t>Component</t>
        </is>
      </c>
      <c r="B15" s="4" t="inlineStr">
        <is>
          <t>Value</t>
        </is>
      </c>
      <c r="C15" s="4" t="inlineStr">
        <is>
          <t>Unit</t>
        </is>
      </c>
      <c r="D15" s="4" t="inlineStr">
        <is>
          <t>Cost</t>
        </is>
      </c>
      <c r="E15" s="4" t="inlineStr"/>
    </row>
    <row r="16">
      <c r="A16" s="5" t="inlineStr">
        <is>
          <t>Total storage</t>
        </is>
      </c>
      <c r="B16" s="12">
        <f>Inputs!D47</f>
        <v/>
      </c>
      <c r="C16" s="5" t="inlineStr">
        <is>
          <t>GB</t>
        </is>
      </c>
      <c r="D16" s="17">
        <f>B16*Inputs!B25</f>
        <v/>
      </c>
      <c r="E16" s="5" t="n"/>
    </row>
    <row r="17">
      <c r="A17" s="5" t="inlineStr">
        <is>
          <t>Instant Restore (est. changes)</t>
        </is>
      </c>
      <c r="B17" s="15" t="n">
        <v>8</v>
      </c>
      <c r="C17" s="5" t="inlineStr">
        <is>
          <t>GB</t>
        </is>
      </c>
      <c r="D17" s="17">
        <f>B17*Inputs!B26</f>
        <v/>
      </c>
      <c r="E17" s="5" t="n"/>
    </row>
    <row r="18">
      <c r="A18" s="13" t="inlineStr">
        <is>
          <t>NEON TOTAL</t>
        </is>
      </c>
      <c r="B18" s="13" t="n"/>
      <c r="C18" s="13" t="n"/>
      <c r="D18" s="18">
        <f>D12+D16+D17</f>
        <v/>
      </c>
      <c r="E18" s="13" t="n"/>
    </row>
    <row r="20">
      <c r="A20" s="3" t="inlineStr">
        <is>
          <t>RENDER — SERVICES</t>
        </is>
      </c>
      <c r="B20" s="3" t="n"/>
      <c r="C20" s="3" t="n"/>
      <c r="D20" s="3" t="n"/>
      <c r="E20" s="3" t="n"/>
    </row>
    <row r="21">
      <c r="A21" s="4" t="inlineStr">
        <is>
          <t>Service</t>
        </is>
      </c>
      <c r="B21" s="4" t="inlineStr">
        <is>
          <t>Instance Type</t>
        </is>
      </c>
      <c r="C21" s="4" t="inlineStr">
        <is>
          <t>Instances</t>
        </is>
      </c>
      <c r="D21" s="4" t="inlineStr">
        <is>
          <t>Cost</t>
        </is>
      </c>
      <c r="E21" s="4" t="inlineStr">
        <is>
          <t>Notes</t>
        </is>
      </c>
    </row>
    <row r="22">
      <c r="A22" s="5" t="inlineStr">
        <is>
          <t>Backend API</t>
        </is>
      </c>
      <c r="B22" s="5" t="inlineStr">
        <is>
          <t>Pro</t>
        </is>
      </c>
      <c r="C22" s="15" t="n">
        <v>1</v>
      </c>
      <c r="D22" s="17">
        <f>C22*Inputs!B35</f>
        <v/>
      </c>
      <c r="E22" s="5" t="n"/>
    </row>
    <row r="23">
      <c r="A23" s="5" t="inlineStr">
        <is>
          <t>Frontend (Static Site)</t>
        </is>
      </c>
      <c r="B23" s="5" t="inlineStr">
        <is>
          <t>Free</t>
        </is>
      </c>
      <c r="C23" s="5" t="n"/>
      <c r="D23" s="17" t="n">
        <v>0</v>
      </c>
      <c r="E23" s="5" t="n"/>
    </row>
    <row r="24">
      <c r="A24" s="5" t="inlineStr">
        <is>
          <t>Background Worker</t>
        </is>
      </c>
      <c r="B24" s="5" t="inlineStr">
        <is>
          <t>Standard</t>
        </is>
      </c>
      <c r="C24" s="15" t="n">
        <v>1</v>
      </c>
      <c r="D24" s="17">
        <f>C24*Inputs!B34</f>
        <v/>
      </c>
      <c r="E24" s="5" t="n"/>
    </row>
    <row r="25">
      <c r="A25" s="5" t="inlineStr">
        <is>
          <t>Team workspace ($19/seat)</t>
        </is>
      </c>
      <c r="B25" s="5" t="inlineStr">
        <is>
          <t>Team</t>
        </is>
      </c>
      <c r="C25" s="15" t="n">
        <v>1</v>
      </c>
      <c r="D25" s="17">
        <f>C25*19</f>
        <v/>
      </c>
      <c r="E25" s="5" t="n"/>
    </row>
    <row r="26">
      <c r="A26" s="13" t="inlineStr">
        <is>
          <t>RENDER TOTAL</t>
        </is>
      </c>
      <c r="B26" s="13" t="n"/>
      <c r="C26" s="13" t="n"/>
      <c r="D26" s="18">
        <f>D22+D23+D24+D25</f>
        <v/>
      </c>
      <c r="E26" s="13" t="n"/>
    </row>
    <row r="28">
      <c r="A28" s="19" t="inlineStr">
        <is>
          <t>OPTION B — GRAND TOTAL</t>
        </is>
      </c>
      <c r="B28" s="20" t="n"/>
      <c r="C28" s="20" t="n"/>
      <c r="D28" s="20" t="n"/>
      <c r="E28" s="20" t="n"/>
    </row>
    <row r="29">
      <c r="A29" s="5" t="inlineStr">
        <is>
          <t>Neon (Database)</t>
        </is>
      </c>
      <c r="B29" s="5" t="n"/>
      <c r="C29" s="5" t="n"/>
      <c r="D29" s="21">
        <f>D18</f>
        <v/>
      </c>
      <c r="E29" s="5" t="n"/>
    </row>
    <row r="30">
      <c r="A30" s="5" t="inlineStr">
        <is>
          <t>Render (Hosting)</t>
        </is>
      </c>
      <c r="B30" s="5" t="n"/>
      <c r="C30" s="5" t="n"/>
      <c r="D30" s="21">
        <f>D26</f>
        <v/>
      </c>
      <c r="E30" s="5" t="n"/>
    </row>
    <row r="31">
      <c r="A31" s="22" t="inlineStr">
        <is>
          <t>TOTAL PER MONTH</t>
        </is>
      </c>
      <c r="B31" s="22" t="n"/>
      <c r="C31" s="22" t="n"/>
      <c r="D31" s="23">
        <f>D18+D26</f>
        <v/>
      </c>
      <c r="E31" s="22" t="n"/>
    </row>
    <row r="32">
      <c r="A32" s="13" t="inlineStr">
        <is>
          <t>TOTAL PER YEAR</t>
        </is>
      </c>
      <c r="B32" s="13" t="n"/>
      <c r="C32" s="13" t="n"/>
      <c r="D32" s="24">
        <f>D31*12</f>
        <v/>
      </c>
      <c r="E32" s="13" t="n"/>
    </row>
    <row r="33">
      <c r="A33" s="13" t="inlineStr">
        <is>
          <t>PER COMPANY / MONTH</t>
        </is>
      </c>
      <c r="B33" s="13" t="n"/>
      <c r="C33" s="13" t="n"/>
      <c r="D33" s="24">
        <f>D31/Inputs!B6</f>
        <v/>
      </c>
      <c r="E33" s="13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OPTION C: Enterprise / SLA (~$671/mo)</t>
        </is>
      </c>
    </row>
    <row r="2">
      <c r="A2" s="2" t="inlineStr">
        <is>
          <t>Best for: SLA commitments, compliance. Neon Scale plan (always-on) + Render Pro (×2).</t>
        </is>
      </c>
    </row>
    <row r="4">
      <c r="A4" s="3" t="inlineStr">
        <is>
          <t>NEON — SCALE PLAN (Always-On Compute)</t>
        </is>
      </c>
      <c r="B4" s="3" t="n"/>
      <c r="C4" s="3" t="n"/>
      <c r="D4" s="3" t="n"/>
      <c r="E4" s="3" t="n"/>
    </row>
    <row r="5">
      <c r="A5" s="4" t="inlineStr">
        <is>
          <t>Component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Cost</t>
        </is>
      </c>
      <c r="E5" s="4" t="inlineStr">
        <is>
          <t>Formula</t>
        </is>
      </c>
    </row>
    <row r="6">
      <c r="A6" s="5" t="inlineStr">
        <is>
          <t>Primary compute (always-on)</t>
        </is>
      </c>
      <c r="B6" s="15" t="n">
        <v>2</v>
      </c>
      <c r="C6" s="5" t="inlineStr">
        <is>
          <t>CU</t>
        </is>
      </c>
      <c r="D6" s="5" t="n"/>
      <c r="E6" s="5" t="n"/>
    </row>
    <row r="7">
      <c r="A7" s="5" t="inlineStr">
        <is>
          <t>Hours/month (always-on)</t>
        </is>
      </c>
      <c r="B7" s="16" t="n">
        <v>730</v>
      </c>
      <c r="C7" s="5" t="inlineStr">
        <is>
          <t>hours</t>
        </is>
      </c>
      <c r="D7" s="5" t="n"/>
      <c r="E7" s="5" t="inlineStr">
        <is>
          <t>24 × 30.4 ≈ 730</t>
        </is>
      </c>
    </row>
    <row r="8">
      <c r="A8" s="5" t="inlineStr">
        <is>
          <t>Primary CU-hours</t>
        </is>
      </c>
      <c r="B8" s="16">
        <f>B6*B7</f>
        <v/>
      </c>
      <c r="C8" s="5" t="inlineStr">
        <is>
          <t>CU-hrs</t>
        </is>
      </c>
      <c r="D8" s="17">
        <f>B8*Inputs!C24</f>
        <v/>
      </c>
      <c r="E8" s="5" t="n"/>
    </row>
    <row r="9">
      <c r="A9" s="5" t="inlineStr">
        <is>
          <t>Read replica (reporting queries)</t>
        </is>
      </c>
      <c r="B9" s="15" t="n">
        <v>0.5</v>
      </c>
      <c r="C9" s="5" t="inlineStr">
        <is>
          <t>CU</t>
        </is>
      </c>
      <c r="D9" s="5" t="n"/>
      <c r="E9" s="5" t="n"/>
    </row>
    <row r="10">
      <c r="A10" s="5" t="inlineStr">
        <is>
          <t>Replica CU-hours</t>
        </is>
      </c>
      <c r="B10" s="16">
        <f>B9*B7</f>
        <v/>
      </c>
      <c r="C10" s="5" t="inlineStr">
        <is>
          <t>CU-hrs</t>
        </is>
      </c>
      <c r="D10" s="17">
        <f>B10*Inputs!C24</f>
        <v/>
      </c>
      <c r="E10" s="5" t="n"/>
    </row>
    <row r="11">
      <c r="A11" s="13" t="inlineStr">
        <is>
          <t>COMPUTE SUBTOTAL</t>
        </is>
      </c>
      <c r="B11" s="13" t="n"/>
      <c r="C11" s="13" t="n"/>
      <c r="D11" s="18">
        <f>D8+D10</f>
        <v/>
      </c>
      <c r="E11" s="13" t="n"/>
    </row>
    <row r="13">
      <c r="A13" s="3" t="inlineStr">
        <is>
          <t>NEON — Storage &amp; Other</t>
        </is>
      </c>
      <c r="B13" s="3" t="n"/>
      <c r="C13" s="3" t="n"/>
      <c r="D13" s="3" t="n"/>
      <c r="E13" s="3" t="n"/>
    </row>
    <row r="14">
      <c r="A14" s="4" t="inlineStr">
        <is>
          <t>Component</t>
        </is>
      </c>
      <c r="B14" s="4" t="inlineStr">
        <is>
          <t>Value</t>
        </is>
      </c>
      <c r="C14" s="4" t="inlineStr">
        <is>
          <t>Unit</t>
        </is>
      </c>
      <c r="D14" s="4" t="inlineStr">
        <is>
          <t>Cost</t>
        </is>
      </c>
      <c r="E14" s="4" t="inlineStr"/>
    </row>
    <row r="15">
      <c r="A15" s="5" t="inlineStr">
        <is>
          <t>Storage</t>
        </is>
      </c>
      <c r="B15" s="12">
        <f>Inputs!D47</f>
        <v/>
      </c>
      <c r="C15" s="5" t="inlineStr">
        <is>
          <t>GB</t>
        </is>
      </c>
      <c r="D15" s="17">
        <f>B15*Inputs!B25</f>
        <v/>
      </c>
      <c r="E15" s="5" t="n"/>
    </row>
    <row r="16">
      <c r="A16" s="5" t="inlineStr">
        <is>
          <t>Instant Restore (30-day window)</t>
        </is>
      </c>
      <c r="B16" s="15" t="n">
        <v>25</v>
      </c>
      <c r="C16" s="5" t="inlineStr">
        <is>
          <t>GB</t>
        </is>
      </c>
      <c r="D16" s="17">
        <f>B16*Inputs!B26</f>
        <v/>
      </c>
      <c r="E16" s="5" t="n"/>
    </row>
    <row r="17">
      <c r="A17" s="13" t="inlineStr">
        <is>
          <t>NEON TOTAL</t>
        </is>
      </c>
      <c r="B17" s="13" t="n"/>
      <c r="C17" s="13" t="n"/>
      <c r="D17" s="18">
        <f>D11+D15+D16</f>
        <v/>
      </c>
      <c r="E17" s="13" t="n"/>
    </row>
    <row r="19">
      <c r="A19" s="3" t="inlineStr">
        <is>
          <t>RENDER — SERVICES</t>
        </is>
      </c>
      <c r="B19" s="3" t="n"/>
      <c r="C19" s="3" t="n"/>
      <c r="D19" s="3" t="n"/>
      <c r="E19" s="3" t="n"/>
    </row>
    <row r="20">
      <c r="A20" s="4" t="inlineStr">
        <is>
          <t>Service</t>
        </is>
      </c>
      <c r="B20" s="4" t="inlineStr">
        <is>
          <t>Instance Type</t>
        </is>
      </c>
      <c r="C20" s="4" t="inlineStr">
        <is>
          <t>Instances</t>
        </is>
      </c>
      <c r="D20" s="4" t="inlineStr">
        <is>
          <t>Cost</t>
        </is>
      </c>
      <c r="E20" s="4" t="inlineStr">
        <is>
          <t>Notes</t>
        </is>
      </c>
    </row>
    <row r="21">
      <c r="A21" s="5" t="inlineStr">
        <is>
          <t>Backend API (load balanced)</t>
        </is>
      </c>
      <c r="B21" s="5" t="inlineStr">
        <is>
          <t>Pro</t>
        </is>
      </c>
      <c r="C21" s="15" t="n">
        <v>2</v>
      </c>
      <c r="D21" s="17">
        <f>C21*Inputs!B35</f>
        <v/>
      </c>
      <c r="E21" s="5" t="n"/>
    </row>
    <row r="22">
      <c r="A22" s="5" t="inlineStr">
        <is>
          <t>Frontend (Static Site)</t>
        </is>
      </c>
      <c r="B22" s="5" t="inlineStr">
        <is>
          <t>Free</t>
        </is>
      </c>
      <c r="C22" s="5" t="n"/>
      <c r="D22" s="17" t="n">
        <v>0</v>
      </c>
      <c r="E22" s="5" t="n"/>
    </row>
    <row r="23">
      <c r="A23" s="5" t="inlineStr">
        <is>
          <t>Background Worker</t>
        </is>
      </c>
      <c r="B23" s="5" t="inlineStr">
        <is>
          <t>Standard</t>
        </is>
      </c>
      <c r="C23" s="15" t="n">
        <v>1</v>
      </c>
      <c r="D23" s="17">
        <f>C23*Inputs!B34</f>
        <v/>
      </c>
      <c r="E23" s="5" t="n"/>
    </row>
    <row r="24">
      <c r="A24" s="5" t="inlineStr">
        <is>
          <t>Team workspace ($19/seat × 3)</t>
        </is>
      </c>
      <c r="B24" s="5" t="inlineStr">
        <is>
          <t>Team</t>
        </is>
      </c>
      <c r="C24" s="15" t="n">
        <v>3</v>
      </c>
      <c r="D24" s="17">
        <f>C24*19</f>
        <v/>
      </c>
      <c r="E24" s="5" t="n"/>
    </row>
    <row r="25">
      <c r="A25" s="13" t="inlineStr">
        <is>
          <t>RENDER TOTAL</t>
        </is>
      </c>
      <c r="B25" s="13" t="n"/>
      <c r="C25" s="13" t="n"/>
      <c r="D25" s="18">
        <f>D21+D22+D23+D24</f>
        <v/>
      </c>
      <c r="E25" s="13" t="n"/>
    </row>
    <row r="27">
      <c r="A27" s="19" t="inlineStr">
        <is>
          <t>OPTION C — GRAND TOTAL</t>
        </is>
      </c>
      <c r="B27" s="20" t="n"/>
      <c r="C27" s="20" t="n"/>
      <c r="D27" s="20" t="n"/>
      <c r="E27" s="20" t="n"/>
    </row>
    <row r="28">
      <c r="A28" s="5" t="inlineStr">
        <is>
          <t>Neon (Database)</t>
        </is>
      </c>
      <c r="B28" s="5" t="n"/>
      <c r="C28" s="5" t="n"/>
      <c r="D28" s="21">
        <f>D17</f>
        <v/>
      </c>
      <c r="E28" s="5" t="n"/>
    </row>
    <row r="29">
      <c r="A29" s="5" t="inlineStr">
        <is>
          <t>Render (Hosting)</t>
        </is>
      </c>
      <c r="B29" s="5" t="n"/>
      <c r="C29" s="5" t="n"/>
      <c r="D29" s="21">
        <f>D25</f>
        <v/>
      </c>
      <c r="E29" s="5" t="n"/>
    </row>
    <row r="30">
      <c r="A30" s="22" t="inlineStr">
        <is>
          <t>TOTAL PER MONTH</t>
        </is>
      </c>
      <c r="B30" s="22" t="n"/>
      <c r="C30" s="22" t="n"/>
      <c r="D30" s="23">
        <f>D17+D25</f>
        <v/>
      </c>
      <c r="E30" s="22" t="n"/>
    </row>
    <row r="31">
      <c r="A31" s="13" t="inlineStr">
        <is>
          <t>TOTAL PER YEAR</t>
        </is>
      </c>
      <c r="B31" s="13" t="n"/>
      <c r="C31" s="13" t="n"/>
      <c r="D31" s="24">
        <f>D30*12</f>
        <v/>
      </c>
      <c r="E31" s="13" t="n"/>
    </row>
    <row r="32">
      <c r="A32" s="13" t="inlineStr">
        <is>
          <t>PER COMPANY / MONTH</t>
        </is>
      </c>
      <c r="B32" s="13" t="n"/>
      <c r="C32" s="13" t="n"/>
      <c r="D32" s="24">
        <f>D30/Inputs!B6</f>
        <v/>
      </c>
      <c r="E32" s="13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SIDE-BY-SIDE COMPARISON</t>
        </is>
      </c>
    </row>
    <row r="3">
      <c r="A3" s="4" t="inlineStr">
        <is>
          <t>Metric</t>
        </is>
      </c>
      <c r="B3" s="4" t="inlineStr">
        <is>
          <t>Option A (Starter)</t>
        </is>
      </c>
      <c r="C3" s="4" t="inlineStr">
        <is>
          <t>Option B (Growth)</t>
        </is>
      </c>
      <c r="D3" s="4" t="inlineStr">
        <is>
          <t>Option C (Enterprise)</t>
        </is>
      </c>
    </row>
    <row r="4">
      <c r="A4" s="5" t="inlineStr">
        <is>
          <t>Neon (Database) /mo</t>
        </is>
      </c>
      <c r="B4" s="25">
        <f>'Option A — Starter'!D19</f>
        <v/>
      </c>
      <c r="C4" s="25">
        <f>'Option B — Growth'!D18</f>
        <v/>
      </c>
      <c r="D4" s="25">
        <f>'Option C — Enterprise'!D17</f>
        <v/>
      </c>
    </row>
    <row r="5">
      <c r="A5" s="5" t="inlineStr">
        <is>
          <t>Render (Hosting) /mo</t>
        </is>
      </c>
      <c r="B5" s="25">
        <f>'Option A — Starter'!D26</f>
        <v/>
      </c>
      <c r="C5" s="25">
        <f>'Option B — Growth'!D26</f>
        <v/>
      </c>
      <c r="D5" s="25">
        <f>'Option C — Enterprise'!D25</f>
        <v/>
      </c>
    </row>
    <row r="6">
      <c r="A6" s="5" t="inlineStr">
        <is>
          <t>TOTAL / MONTH</t>
        </is>
      </c>
      <c r="B6" s="26">
        <f>'Option A — Starter'!D31</f>
        <v/>
      </c>
      <c r="C6" s="26">
        <f>'Option B — Growth'!D31</f>
        <v/>
      </c>
      <c r="D6" s="26">
        <f>'Option C — Enterprise'!D30</f>
        <v/>
      </c>
    </row>
    <row r="7">
      <c r="A7" s="5" t="inlineStr">
        <is>
          <t>TOTAL / YEAR</t>
        </is>
      </c>
      <c r="B7" s="26">
        <f>'Option A — Starter'!D31*12</f>
        <v/>
      </c>
      <c r="C7" s="26">
        <f>'Option B — Growth'!D31*12</f>
        <v/>
      </c>
      <c r="D7" s="26">
        <f>'Option C — Enterprise'!D30*12</f>
        <v/>
      </c>
    </row>
    <row r="8">
      <c r="A8" s="5" t="inlineStr">
        <is>
          <t>Per Company / Month</t>
        </is>
      </c>
      <c r="B8" s="25">
        <f>'Option A — Starter'!D31/Inputs!B6</f>
        <v/>
      </c>
      <c r="C8" s="25">
        <f>'Option B — Growth'!D31/Inputs!B6</f>
        <v/>
      </c>
      <c r="D8" s="25">
        <f>'Option C — Enterprise'!D30/Inputs!B6</f>
        <v/>
      </c>
    </row>
    <row r="9">
      <c r="A9" s="5" t="inlineStr">
        <is>
          <t>Per Company / Year</t>
        </is>
      </c>
      <c r="B9" s="25">
        <f>'Option A — Starter'!D31*12/Inputs!B6</f>
        <v/>
      </c>
      <c r="C9" s="25">
        <f>'Option B — Growth'!D31*12/Inputs!B6</f>
        <v/>
      </c>
      <c r="D9" s="25">
        <f>'Option C — Enterprise'!D30*12/Inputs!B6</f>
        <v/>
      </c>
    </row>
    <row r="11">
      <c r="A11" s="27" t="inlineStr">
        <is>
          <t>Best for:</t>
        </is>
      </c>
      <c r="B11" s="28" t="inlineStr">
        <is>
          <t>Onboarding / MVP</t>
        </is>
      </c>
      <c r="C11" s="28" t="inlineStr">
        <is>
          <t>Active daily use</t>
        </is>
      </c>
      <c r="D11" s="28" t="inlineStr">
        <is>
          <t>SLA / compliance</t>
        </is>
      </c>
    </row>
    <row r="12">
      <c r="A12" s="27" t="inlineStr">
        <is>
          <t>Backend tier:</t>
        </is>
      </c>
      <c r="B12" s="28" t="inlineStr">
        <is>
          <t>Standard (1 CPU, 2GB)</t>
        </is>
      </c>
      <c r="C12" s="28" t="inlineStr">
        <is>
          <t>Pro (2 CPU, 4GB)</t>
        </is>
      </c>
      <c r="D12" s="28" t="inlineStr">
        <is>
          <t>Pro ×2 (load balanced)</t>
        </is>
      </c>
    </row>
    <row r="13">
      <c r="A13" s="27" t="inlineStr">
        <is>
          <t>DB compute:</t>
        </is>
      </c>
      <c r="B13" s="28" t="inlineStr">
        <is>
          <t>1 CU (autoscale)</t>
        </is>
      </c>
      <c r="C13" s="28" t="inlineStr">
        <is>
          <t>2 CU (autoscale)</t>
        </is>
      </c>
      <c r="D13" s="28" t="inlineStr">
        <is>
          <t>2 CU + replica (always-on)</t>
        </is>
      </c>
    </row>
    <row r="14">
      <c r="A14" s="27" t="inlineStr">
        <is>
          <t>Neon plan:</t>
        </is>
      </c>
      <c r="B14" s="28" t="inlineStr">
        <is>
          <t>Launch</t>
        </is>
      </c>
      <c r="C14" s="28" t="inlineStr">
        <is>
          <t>Launch</t>
        </is>
      </c>
      <c r="D14" s="28" t="inlineStr">
        <is>
          <t>Scale (SOC2, SLA)</t>
        </is>
      </c>
    </row>
    <row r="16">
      <c r="A16" s="29" t="inlineStr">
        <is>
          <t>💡 Change any yellow cell on the Inputs sheet and all numbers recalculate.</t>
        </is>
      </c>
    </row>
  </sheetData>
  <mergeCells count="2">
    <mergeCell ref="A1:D1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2026-01-31T04:01:14Z</dcterms:created>
  <dcterms:modified xmlns:dcterms="http://purl.org/dc/terms/" xmlns:xsi="http://www.w3.org/2001/XMLSchema-instance" xsi:type="dcterms:W3CDTF">2026-01-31T04:01:14Z</dcterms:modified>
</cp:coreProperties>
</file>