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Prices" sheetId="1" state="visible" r:id="rId1"/>
    <sheet xmlns:r="http://schemas.openxmlformats.org/officeDocument/2006/relationships" name="Data Volume" sheetId="2" state="visible" r:id="rId2"/>
    <sheet xmlns:r="http://schemas.openxmlformats.org/officeDocument/2006/relationships" name="Compute Usage" sheetId="3" state="visible" r:id="rId3"/>
    <sheet xmlns:r="http://schemas.openxmlformats.org/officeDocument/2006/relationships" name="Cost Rollup" sheetId="4" state="visible" r:id="rId4"/>
    <sheet xmlns:r="http://schemas.openxmlformats.org/officeDocument/2006/relationships" name="Per Cli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0"/>
    <numFmt numFmtId="165" formatCode="$#,##0.00"/>
    <numFmt numFmtId="166" formatCode="#,##0.0"/>
    <numFmt numFmtId="167" formatCode="#,##0.000"/>
    <numFmt numFmtId="168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color rgb="00808080"/>
      <sz val="9"/>
    </font>
    <font>
      <name val="Calibri"/>
      <b val="1"/>
      <color rgb="002F5496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2"/>
    </font>
    <font>
      <name val="Calibri"/>
      <b val="1"/>
      <sz val="12"/>
    </font>
    <font>
      <name val="Calibri"/>
      <b val="1"/>
      <color rgb="00FFFFFF"/>
      <sz val="12"/>
    </font>
    <font>
      <name val="Calibri"/>
      <i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wrapText="1"/>
    </xf>
    <xf numFmtId="0" fontId="4" fillId="0" borderId="1" pivotButton="0" quotePrefix="0" xfId="0"/>
    <xf numFmtId="164" fontId="6" fillId="4" borderId="1" pivotButton="0" quotePrefix="0" xfId="0"/>
    <xf numFmtId="165" fontId="6" fillId="4" borderId="1" pivotButton="0" quotePrefix="0" xfId="0"/>
    <xf numFmtId="166" fontId="4" fillId="0" borderId="1" pivotButton="0" quotePrefix="0" xfId="0"/>
    <xf numFmtId="3" fontId="4" fillId="0" borderId="1" pivotButton="0" quotePrefix="0" xfId="0"/>
    <xf numFmtId="0" fontId="6" fillId="0" borderId="1" pivotButton="0" quotePrefix="0" xfId="0"/>
    <xf numFmtId="3" fontId="6" fillId="4" borderId="1" pivotButton="0" quotePrefix="0" xfId="0"/>
    <xf numFmtId="3" fontId="4" fillId="4" borderId="1" pivotButton="0" quotePrefix="0" xfId="0"/>
    <xf numFmtId="166" fontId="4" fillId="4" borderId="1" pivotButton="0" quotePrefix="0" xfId="0"/>
    <xf numFmtId="167" fontId="4" fillId="5" borderId="1" pivotButton="0" quotePrefix="0" xfId="0"/>
    <xf numFmtId="167" fontId="6" fillId="6" borderId="1" pivotButton="0" quotePrefix="0" xfId="0"/>
    <xf numFmtId="0" fontId="7" fillId="0" borderId="1" pivotButton="0" quotePrefix="0" xfId="0"/>
    <xf numFmtId="166" fontId="8" fillId="6" borderId="1" pivotButton="0" quotePrefix="0" xfId="0"/>
    <xf numFmtId="3" fontId="6" fillId="5" borderId="1" pivotButton="0" quotePrefix="0" xfId="0"/>
    <xf numFmtId="3" fontId="4" fillId="5" borderId="1" pivotButton="0" quotePrefix="0" xfId="0"/>
    <xf numFmtId="164" fontId="4" fillId="0" borderId="1" pivotButton="0" quotePrefix="0" xfId="0"/>
    <xf numFmtId="4" fontId="4" fillId="5" borderId="1" pivotButton="0" quotePrefix="0" xfId="0"/>
    <xf numFmtId="3" fontId="6" fillId="0" borderId="1" pivotButton="0" quotePrefix="0" xfId="0"/>
    <xf numFmtId="4" fontId="6" fillId="6" borderId="1" pivotButton="0" quotePrefix="0" xfId="0"/>
    <xf numFmtId="166" fontId="4" fillId="5" borderId="1" pivotButton="0" quotePrefix="0" xfId="0"/>
    <xf numFmtId="165" fontId="4" fillId="0" borderId="1" pivotButton="0" quotePrefix="0" xfId="0"/>
    <xf numFmtId="165" fontId="4" fillId="4" borderId="1" pivotButton="0" quotePrefix="0" xfId="0"/>
    <xf numFmtId="0" fontId="9" fillId="3" borderId="1" pivotButton="0" quotePrefix="0" xfId="0"/>
    <xf numFmtId="0" fontId="0" fillId="3" borderId="1" pivotButton="0" quotePrefix="0" xfId="0"/>
    <xf numFmtId="165" fontId="9" fillId="3" borderId="1" pivotButton="0" quotePrefix="0" xfId="0"/>
    <xf numFmtId="165" fontId="6" fillId="6" borderId="1" pivotButton="0" quotePrefix="0" xfId="0"/>
    <xf numFmtId="0" fontId="6" fillId="4" borderId="1" pivotButton="0" quotePrefix="0" xfId="0"/>
    <xf numFmtId="167" fontId="6" fillId="5" borderId="1" pivotButton="0" quotePrefix="0" xfId="0"/>
    <xf numFmtId="0" fontId="3" fillId="0" borderId="1" pivotButton="0" quotePrefix="0" xfId="0"/>
    <xf numFmtId="166" fontId="6" fillId="6" borderId="1" pivotButton="0" quotePrefix="0" xfId="0"/>
    <xf numFmtId="4" fontId="6" fillId="5" borderId="1" pivotButton="0" quotePrefix="0" xfId="0"/>
    <xf numFmtId="165" fontId="8" fillId="6" borderId="1" pivotButton="0" quotePrefix="0" xfId="0"/>
    <xf numFmtId="168" fontId="4" fillId="5" borderId="1" pivotButton="0" quotePrefix="0" xfId="0"/>
    <xf numFmtId="168" fontId="6" fillId="5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4" customWidth="1" min="4" max="4"/>
    <col width="35" customWidth="1" min="5" max="5"/>
  </cols>
  <sheetData>
    <row r="1">
      <c r="A1" s="1" t="inlineStr">
        <is>
          <t>UNIT PRICES — Source of Truth</t>
        </is>
      </c>
    </row>
    <row r="2">
      <c r="A2" s="2" t="inlineStr">
        <is>
          <t>All yellow cells are editable. Every cost in this workbook = Quantity × Unit Price from this sheet.</t>
        </is>
      </c>
    </row>
    <row r="4">
      <c r="A4" s="3" t="inlineStr">
        <is>
          <t>NEON RATES (neon.com/docs/introduction/plans — Aug 2025 pricing)</t>
        </is>
      </c>
      <c r="B4" s="4" t="n"/>
      <c r="C4" s="4" t="n"/>
      <c r="D4" s="4" t="n"/>
      <c r="E4" s="4" t="n"/>
    </row>
    <row r="5">
      <c r="A5" s="5" t="inlineStr">
        <is>
          <t>Item</t>
        </is>
      </c>
      <c r="B5" s="5" t="inlineStr">
        <is>
          <t>Launch Plan</t>
        </is>
      </c>
      <c r="C5" s="5" t="inlineStr">
        <is>
          <t>Scale Plan</t>
        </is>
      </c>
      <c r="D5" s="5" t="inlineStr"/>
      <c r="E5" s="5" t="inlineStr">
        <is>
          <t>Source</t>
        </is>
      </c>
    </row>
    <row r="6">
      <c r="A6" s="6" t="inlineStr">
        <is>
          <t>Compute (per CU-hour)</t>
        </is>
      </c>
      <c r="B6" s="7" t="n">
        <v>0.106</v>
      </c>
      <c r="C6" s="7" t="n">
        <v>0.222</v>
      </c>
      <c r="E6" s="2" t="inlineStr">
        <is>
          <t>CU = ~4 GB RAM + CPU + SSD</t>
        </is>
      </c>
    </row>
    <row r="7">
      <c r="A7" s="6" t="inlineStr">
        <is>
          <t>Storage (per GB-month)</t>
        </is>
      </c>
      <c r="B7" s="7" t="n">
        <v>0.35</v>
      </c>
      <c r="C7" s="7" t="n">
        <v>0.35</v>
      </c>
      <c r="E7" s="2" t="inlineStr">
        <is>
          <t>Actual data size, metered hourly</t>
        </is>
      </c>
    </row>
    <row r="8">
      <c r="A8" s="6" t="inlineStr">
        <is>
          <t>Instant Restore (per GB-month of changes)</t>
        </is>
      </c>
      <c r="B8" s="7" t="n">
        <v>0.2</v>
      </c>
      <c r="C8" s="7" t="n">
        <v>0.2</v>
      </c>
      <c r="E8" s="2" t="inlineStr">
        <is>
          <t>WAL retention for PITR</t>
        </is>
      </c>
    </row>
    <row r="9">
      <c r="A9" s="6" t="inlineStr">
        <is>
          <t>Public network egress (per GB over 100 GB)</t>
        </is>
      </c>
      <c r="B9" s="7" t="n">
        <v>0.1</v>
      </c>
      <c r="C9" s="7" t="n">
        <v>0.1</v>
      </c>
      <c r="E9" s="2" t="inlineStr">
        <is>
          <t>First 100 GB included on paid</t>
        </is>
      </c>
    </row>
    <row r="10">
      <c r="A10" s="6" t="inlineStr">
        <is>
          <t>Extra branch (per branch-month)</t>
        </is>
      </c>
      <c r="B10" s="7" t="n">
        <v>1.5</v>
      </c>
      <c r="C10" s="7" t="n">
        <v>1.5</v>
      </c>
      <c r="E10" s="2" t="inlineStr">
        <is>
          <t>Beyond 10 included (Launch) / 25 (Scale)</t>
        </is>
      </c>
    </row>
    <row r="12">
      <c r="A12" s="3" t="inlineStr">
        <is>
          <t>RENDER RATES (render.com — current published tiers)</t>
        </is>
      </c>
      <c r="B12" s="4" t="n"/>
      <c r="C12" s="4" t="n"/>
      <c r="D12" s="4" t="n"/>
      <c r="E12" s="4" t="n"/>
    </row>
    <row r="13">
      <c r="A13" s="5" t="inlineStr">
        <is>
          <t>Instance Type</t>
        </is>
      </c>
      <c r="B13" s="5" t="inlineStr">
        <is>
          <t>$/month</t>
        </is>
      </c>
      <c r="C13" s="5" t="inlineStr">
        <is>
          <t>CPU</t>
        </is>
      </c>
      <c r="D13" s="5" t="inlineStr">
        <is>
          <t>RAM (GB)</t>
        </is>
      </c>
      <c r="E13" s="5" t="inlineStr">
        <is>
          <t>Notes</t>
        </is>
      </c>
    </row>
    <row r="14">
      <c r="A14" s="6" t="inlineStr">
        <is>
          <t>Free</t>
        </is>
      </c>
      <c r="B14" s="8" t="n">
        <v>0</v>
      </c>
      <c r="C14" s="9" t="n">
        <v>0.1</v>
      </c>
      <c r="D14" s="9" t="n">
        <v>0.5</v>
      </c>
      <c r="E14" s="2" t="inlineStr">
        <is>
          <t>Spins down 15min idle — dev only</t>
        </is>
      </c>
    </row>
    <row r="15">
      <c r="A15" s="6" t="inlineStr">
        <is>
          <t>Starter</t>
        </is>
      </c>
      <c r="B15" s="8" t="n">
        <v>7</v>
      </c>
      <c r="C15" s="9" t="n">
        <v>0.5</v>
      </c>
      <c r="D15" s="9" t="n">
        <v>0.5</v>
      </c>
      <c r="E15" s="2" t="inlineStr">
        <is>
          <t>Background workers, light tasks</t>
        </is>
      </c>
    </row>
    <row r="16">
      <c r="A16" s="6" t="inlineStr">
        <is>
          <t>Standard</t>
        </is>
      </c>
      <c r="B16" s="8" t="n">
        <v>25</v>
      </c>
      <c r="C16" s="9" t="n">
        <v>1</v>
      </c>
      <c r="D16" s="9" t="n">
        <v>2</v>
      </c>
      <c r="E16" s="2" t="inlineStr">
        <is>
          <t>1 CPU / 2 GB — good baseline</t>
        </is>
      </c>
    </row>
    <row r="17">
      <c r="A17" s="6" t="inlineStr">
        <is>
          <t>Pro</t>
        </is>
      </c>
      <c r="B17" s="8" t="n">
        <v>85</v>
      </c>
      <c r="C17" s="9" t="n">
        <v>2</v>
      </c>
      <c r="D17" s="9" t="n">
        <v>4</v>
      </c>
      <c r="E17" s="2" t="inlineStr">
        <is>
          <t>2 CPU / 4 GB — medium production</t>
        </is>
      </c>
    </row>
    <row r="18">
      <c r="A18" s="6" t="inlineStr">
        <is>
          <t>Pro Plus</t>
        </is>
      </c>
      <c r="B18" s="8" t="n">
        <v>175</v>
      </c>
      <c r="C18" s="9" t="n">
        <v>4</v>
      </c>
      <c r="D18" s="9" t="n">
        <v>8</v>
      </c>
      <c r="E18" s="2" t="inlineStr">
        <is>
          <t>4 CPU / 8 GB — high concurrency</t>
        </is>
      </c>
    </row>
    <row r="19">
      <c r="A19" s="6" t="inlineStr">
        <is>
          <t>Pro Max</t>
        </is>
      </c>
      <c r="B19" s="8" t="n">
        <v>225</v>
      </c>
      <c r="C19" s="9" t="n">
        <v>4</v>
      </c>
      <c r="D19" s="9" t="n">
        <v>16</v>
      </c>
      <c r="E19" s="2" t="inlineStr">
        <is>
          <t>4 CPU / 16 GB — memory heavy</t>
        </is>
      </c>
    </row>
    <row r="20">
      <c r="A20" s="6" t="inlineStr">
        <is>
          <t>Pro Ultra</t>
        </is>
      </c>
      <c r="B20" s="8" t="n">
        <v>450</v>
      </c>
      <c r="C20" s="9" t="n">
        <v>8</v>
      </c>
      <c r="D20" s="9" t="n">
        <v>32</v>
      </c>
      <c r="E20" s="2" t="inlineStr">
        <is>
          <t>8 CPU / 32 GB — enterprise</t>
        </is>
      </c>
    </row>
    <row r="22">
      <c r="A22" s="3" t="inlineStr">
        <is>
          <t>NEON CU SIZING REFERENCE</t>
        </is>
      </c>
      <c r="B22" s="4" t="n"/>
      <c r="C22" s="4" t="n"/>
      <c r="D22" s="4" t="n"/>
      <c r="E22" s="4" t="n"/>
    </row>
    <row r="23">
      <c r="A23" s="5" t="inlineStr">
        <is>
          <t>CU Size</t>
        </is>
      </c>
      <c r="B23" s="5" t="inlineStr">
        <is>
          <t>RAM</t>
        </is>
      </c>
      <c r="C23" s="5" t="inlineStr">
        <is>
          <t>Typical Use</t>
        </is>
      </c>
      <c r="D23" s="5" t="inlineStr"/>
      <c r="E23" s="5" t="inlineStr"/>
    </row>
    <row r="24">
      <c r="A24" s="9" t="n">
        <v>0.25</v>
      </c>
      <c r="B24" s="6" t="inlineStr">
        <is>
          <t>1 GB</t>
        </is>
      </c>
      <c r="C24" s="6" t="inlineStr">
        <is>
          <t>Dev/staging, very light queries</t>
        </is>
      </c>
    </row>
    <row r="25">
      <c r="A25" s="9" t="n">
        <v>0.5</v>
      </c>
      <c r="B25" s="6" t="inlineStr">
        <is>
          <t>2 GB</t>
        </is>
      </c>
      <c r="C25" s="6" t="inlineStr">
        <is>
          <t>Light production, small working set</t>
        </is>
      </c>
    </row>
    <row r="26">
      <c r="A26" s="10" t="n">
        <v>1</v>
      </c>
      <c r="B26" s="6" t="inlineStr">
        <is>
          <t>4 GB</t>
        </is>
      </c>
      <c r="C26" s="6" t="inlineStr">
        <is>
          <t>Medium production — 5 tenants baseline</t>
        </is>
      </c>
    </row>
    <row r="27">
      <c r="A27" s="10" t="n">
        <v>2</v>
      </c>
      <c r="B27" s="6" t="inlineStr">
        <is>
          <t>8 GB</t>
        </is>
      </c>
      <c r="C27" s="6" t="inlineStr">
        <is>
          <t>Active multi-tenant, complex joins</t>
        </is>
      </c>
    </row>
    <row r="28">
      <c r="A28" s="10" t="n">
        <v>4</v>
      </c>
      <c r="B28" s="6" t="inlineStr">
        <is>
          <t>16 GB</t>
        </is>
      </c>
      <c r="C28" s="6" t="inlineStr">
        <is>
          <t>Heavy reporting + OLTP concurrent</t>
        </is>
      </c>
    </row>
  </sheetData>
  <mergeCells count="4">
    <mergeCell ref="A22:E22"/>
    <mergeCell ref="A1:E1"/>
    <mergeCell ref="A4:E4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DATA VOLUME — Records × Row Size = Storage</t>
        </is>
      </c>
    </row>
    <row r="2">
      <c r="A2" s="2" t="inlineStr">
        <is>
          <t>Estimates per company per year. Based on our 275 Prisma models (schema analysis).</t>
        </is>
      </c>
    </row>
    <row r="4">
      <c r="A4" s="11" t="inlineStr">
        <is>
          <t>Number of companies</t>
        </is>
      </c>
      <c r="B4" s="12" t="n">
        <v>5</v>
      </c>
    </row>
    <row r="5">
      <c r="A5" s="11" t="inlineStr">
        <is>
          <t>Projection period</t>
        </is>
      </c>
      <c r="B5" s="12" t="n">
        <v>1</v>
      </c>
      <c r="C5" s="6" t="inlineStr">
        <is>
          <t>year(s)</t>
        </is>
      </c>
    </row>
    <row r="7">
      <c r="A7" s="3" t="inlineStr">
        <is>
          <t>RENT-A-CAR MODULE (64 Prisma models — bookings, contracts, vehicles, customers, dispatch)</t>
        </is>
      </c>
      <c r="B7" s="4" t="n"/>
      <c r="C7" s="4" t="n"/>
      <c r="D7" s="4" t="n"/>
      <c r="E7" s="4" t="n"/>
      <c r="F7" s="4" t="n"/>
    </row>
    <row r="8">
      <c r="A8" s="5" t="inlineStr">
        <is>
          <t>Table / Data Type</t>
        </is>
      </c>
      <c r="B8" s="5" t="inlineStr">
        <is>
          <t>Records/Co/Yr</t>
        </is>
      </c>
      <c r="C8" s="5" t="inlineStr">
        <is>
          <t>Avg Row (KB)</t>
        </is>
      </c>
      <c r="D8" s="5" t="inlineStr">
        <is>
          <t>GB/Co/Yr</t>
        </is>
      </c>
      <c r="E8" s="5" t="inlineStr">
        <is>
          <t>GB Total</t>
        </is>
      </c>
      <c r="F8" s="5" t="inlineStr">
        <is>
          <t>Basis</t>
        </is>
      </c>
    </row>
    <row r="9">
      <c r="A9" s="6" t="inlineStr">
        <is>
          <t>vehicles</t>
        </is>
      </c>
      <c r="B9" s="13" t="n">
        <v>200</v>
      </c>
      <c r="C9" s="14" t="n">
        <v>2.5</v>
      </c>
      <c r="D9" s="15">
        <f>B9*C9/1024/1024*B5</f>
        <v/>
      </c>
      <c r="E9" s="15">
        <f>D9*B4</f>
        <v/>
      </c>
      <c r="F9" s="2" t="inlineStr">
        <is>
          <t>~71 fields incl JSON metadata</t>
        </is>
      </c>
    </row>
    <row r="10">
      <c r="A10" s="6" t="inlineStr">
        <is>
          <t>bookings</t>
        </is>
      </c>
      <c r="B10" s="13" t="n">
        <v>6000</v>
      </c>
      <c r="C10" s="14" t="n">
        <v>1.8</v>
      </c>
      <c r="D10" s="15">
        <f>B10*C10/1024/1024*B5</f>
        <v/>
      </c>
      <c r="E10" s="15">
        <f>D10*B4</f>
        <v/>
      </c>
      <c r="F10" s="2" t="inlineStr">
        <is>
          <t>~60 fields, 500/mo × 12</t>
        </is>
      </c>
    </row>
    <row r="11">
      <c r="A11" s="6" t="inlineStr">
        <is>
          <t>rentalContracts</t>
        </is>
      </c>
      <c r="B11" s="13" t="n">
        <v>4800</v>
      </c>
      <c r="C11" s="14" t="n">
        <v>2.8</v>
      </c>
      <c r="D11" s="15">
        <f>B11*C11/1024/1024*B5</f>
        <v/>
      </c>
      <c r="E11" s="15">
        <f>D11*B4</f>
        <v/>
      </c>
      <c r="F11" s="2" t="inlineStr">
        <is>
          <t>~78 fields, 400/mo × 12</t>
        </is>
      </c>
    </row>
    <row r="12">
      <c r="A12" s="6" t="inlineStr">
        <is>
          <t>customers</t>
        </is>
      </c>
      <c r="B12" s="13" t="n">
        <v>2000</v>
      </c>
      <c r="C12" s="14" t="n">
        <v>2</v>
      </c>
      <c r="D12" s="15">
        <f>B12*C12/1024/1024*B5</f>
        <v/>
      </c>
      <c r="E12" s="15">
        <f>D12*B4</f>
        <v/>
      </c>
      <c r="F12" s="2" t="inlineStr">
        <is>
          <t>~59 fields, growing base</t>
        </is>
      </c>
    </row>
    <row r="13">
      <c r="A13" s="6" t="inlineStr">
        <is>
          <t>deliveries + dispatch</t>
        </is>
      </c>
      <c r="B13" s="13" t="n">
        <v>4800</v>
      </c>
      <c r="C13" s="14" t="n">
        <v>1</v>
      </c>
      <c r="D13" s="15">
        <f>B13*C13/1024/1024*B5</f>
        <v/>
      </c>
      <c r="E13" s="15">
        <f>D13*B4</f>
        <v/>
      </c>
      <c r="F13" s="2" t="inlineStr">
        <is>
          <t>Delivery slots, tracking logs</t>
        </is>
      </c>
    </row>
    <row r="14">
      <c r="A14" s="6" t="inlineStr">
        <is>
          <t>deposits + charges</t>
        </is>
      </c>
      <c r="B14" s="13" t="n">
        <v>3000</v>
      </c>
      <c r="C14" s="14" t="n">
        <v>0.5</v>
      </c>
      <c r="D14" s="15">
        <f>B14*C14/1024/1024*B5</f>
        <v/>
      </c>
      <c r="E14" s="15">
        <f>D14*B4</f>
        <v/>
      </c>
      <c r="F14" s="2" t="inlineStr">
        <is>
          <t>Operational charges per contract</t>
        </is>
      </c>
    </row>
    <row r="15">
      <c r="A15" s="6" t="inlineStr">
        <is>
          <t>driver profiles + KYC docs</t>
        </is>
      </c>
      <c r="B15" s="13" t="n">
        <v>500</v>
      </c>
      <c r="C15" s="14" t="n">
        <v>1.5</v>
      </c>
      <c r="D15" s="15">
        <f>B15*C15/1024/1024*B5</f>
        <v/>
      </c>
      <c r="E15" s="15">
        <f>D15*B4</f>
        <v/>
      </c>
      <c r="F15" s="2" t="inlineStr">
        <is>
          <t>Driver + document metadata</t>
        </is>
      </c>
    </row>
    <row r="16">
      <c r="A16" s="6" t="inlineStr">
        <is>
          <t>vehicle_movements</t>
        </is>
      </c>
      <c r="B16" s="13" t="n">
        <v>12000</v>
      </c>
      <c r="C16" s="14" t="n">
        <v>1.8</v>
      </c>
      <c r="D16" s="15">
        <f>B16*C16/1024/1024*B5</f>
        <v/>
      </c>
      <c r="E16" s="15">
        <f>D16*B4</f>
        <v/>
      </c>
      <c r="F16" s="2" t="inlineStr">
        <is>
          <t>~58 fields, plate/status changes</t>
        </is>
      </c>
    </row>
    <row r="17">
      <c r="A17" s="6" t="inlineStr">
        <is>
          <t>booking_chat + notes</t>
        </is>
      </c>
      <c r="B17" s="13" t="n">
        <v>8000</v>
      </c>
      <c r="C17" s="14" t="n">
        <v>0.8</v>
      </c>
      <c r="D17" s="15">
        <f>B17*C17/1024/1024*B5</f>
        <v/>
      </c>
      <c r="E17" s="15">
        <f>D17*B4</f>
        <v/>
      </c>
      <c r="F17" s="2" t="inlineStr">
        <is>
          <t>Messages, tags, internal notes</t>
        </is>
      </c>
    </row>
    <row r="18">
      <c r="A18" s="6" t="inlineStr">
        <is>
          <t>Indexes overhead (this module)</t>
        </is>
      </c>
      <c r="D18" s="15">
        <f>SUM(D9:D17)*0.4</f>
        <v/>
      </c>
      <c r="E18" s="15">
        <f>D18*B4</f>
        <v/>
      </c>
      <c r="F18" s="2" t="inlineStr">
        <is>
          <t>~40% of data size</t>
        </is>
      </c>
    </row>
    <row r="19">
      <c r="A19" s="11" t="inlineStr">
        <is>
          <t>RENT-A-CAR SUBTOTAL</t>
        </is>
      </c>
      <c r="D19" s="16">
        <f>SUM(D9:D18)</f>
        <v/>
      </c>
      <c r="E19" s="16">
        <f>SUM(E9:E18)</f>
        <v/>
      </c>
    </row>
    <row r="21">
      <c r="A21" s="3" t="inlineStr">
        <is>
          <t>FINANCE MODULE (58 Prisma models — invoices, payments, vouchers, GL, assets)</t>
        </is>
      </c>
      <c r="B21" s="4" t="n"/>
      <c r="C21" s="4" t="n"/>
      <c r="D21" s="4" t="n"/>
      <c r="E21" s="4" t="n"/>
      <c r="F21" s="4" t="n"/>
    </row>
    <row r="22">
      <c r="A22" s="5" t="inlineStr">
        <is>
          <t>Table / Data Type</t>
        </is>
      </c>
      <c r="B22" s="5" t="inlineStr">
        <is>
          <t>Records/Co/Yr</t>
        </is>
      </c>
      <c r="C22" s="5" t="inlineStr">
        <is>
          <t>Avg Row (KB)</t>
        </is>
      </c>
      <c r="D22" s="5" t="inlineStr">
        <is>
          <t>GB/Co/Yr</t>
        </is>
      </c>
      <c r="E22" s="5" t="inlineStr">
        <is>
          <t>GB Total</t>
        </is>
      </c>
      <c r="F22" s="5" t="inlineStr">
        <is>
          <t>Basis</t>
        </is>
      </c>
    </row>
    <row r="23">
      <c r="A23" s="6" t="inlineStr">
        <is>
          <t>invoices</t>
        </is>
      </c>
      <c r="B23" s="13" t="n">
        <v>6000</v>
      </c>
      <c r="C23" s="14" t="n">
        <v>1.5</v>
      </c>
      <c r="D23" s="15">
        <f>B23*C23/1024/1024*B5</f>
        <v/>
      </c>
      <c r="E23" s="15">
        <f>D23*B4</f>
        <v/>
      </c>
      <c r="F23" s="2" t="inlineStr">
        <is>
          <t>~500/mo, linked to contracts</t>
        </is>
      </c>
    </row>
    <row r="24">
      <c r="A24" s="6" t="inlineStr">
        <is>
          <t>payments</t>
        </is>
      </c>
      <c r="B24" s="13" t="n">
        <v>6000</v>
      </c>
      <c r="C24" s="14" t="n">
        <v>1.2</v>
      </c>
      <c r="D24" s="15">
        <f>B24*C24/1024/1024*B5</f>
        <v/>
      </c>
      <c r="E24" s="15">
        <f>D24*B4</f>
        <v/>
      </c>
      <c r="F24" s="2" t="inlineStr">
        <is>
          <t>Payment records per invoice</t>
        </is>
      </c>
    </row>
    <row r="25">
      <c r="A25" s="6" t="inlineStr">
        <is>
          <t>accounting_entries</t>
        </is>
      </c>
      <c r="B25" s="13" t="n">
        <v>15000</v>
      </c>
      <c r="C25" s="14" t="n">
        <v>1</v>
      </c>
      <c r="D25" s="15">
        <f>B25*C25/1024/1024*B5</f>
        <v/>
      </c>
      <c r="E25" s="15">
        <f>D25*B4</f>
        <v/>
      </c>
      <c r="F25" s="2" t="inlineStr">
        <is>
          <t>~35 fields, journal entries</t>
        </is>
      </c>
    </row>
    <row r="26">
      <c r="A26" s="6" t="inlineStr">
        <is>
          <t>receipt_vouchers</t>
        </is>
      </c>
      <c r="B26" s="13" t="n">
        <v>3000</v>
      </c>
      <c r="C26" s="14" t="n">
        <v>1.5</v>
      </c>
      <c r="D26" s="15">
        <f>B26*C26/1024/1024*B5</f>
        <v/>
      </c>
      <c r="E26" s="15">
        <f>D26*B4</f>
        <v/>
      </c>
      <c r="F26" s="2" t="inlineStr">
        <is>
          <t>~45 fields</t>
        </is>
      </c>
    </row>
    <row r="27">
      <c r="A27" s="6" t="inlineStr">
        <is>
          <t>payment_vouchers</t>
        </is>
      </c>
      <c r="B27" s="13" t="n">
        <v>2000</v>
      </c>
      <c r="C27" s="14" t="n">
        <v>1.4</v>
      </c>
      <c r="D27" s="15">
        <f>B27*C27/1024/1024*B5</f>
        <v/>
      </c>
      <c r="E27" s="15">
        <f>D27*B4</f>
        <v/>
      </c>
      <c r="F27" s="2" t="inlineStr">
        <is>
          <t>~43 fields</t>
        </is>
      </c>
    </row>
    <row r="28">
      <c r="A28" s="6" t="inlineStr">
        <is>
          <t>credit_notes</t>
        </is>
      </c>
      <c r="B28" s="13" t="n">
        <v>500</v>
      </c>
      <c r="C28" s="14" t="n">
        <v>1.2</v>
      </c>
      <c r="D28" s="15">
        <f>B28*C28/1024/1024*B5</f>
        <v/>
      </c>
      <c r="E28" s="15">
        <f>D28*B4</f>
        <v/>
      </c>
      <c r="F28" s="2" t="inlineStr">
        <is>
          <t>~36 fields</t>
        </is>
      </c>
    </row>
    <row r="29">
      <c r="A29" s="6" t="inlineStr">
        <is>
          <t>fixed_assets</t>
        </is>
      </c>
      <c r="B29" s="13" t="n">
        <v>100</v>
      </c>
      <c r="C29" s="14" t="n">
        <v>2</v>
      </c>
      <c r="D29" s="15">
        <f>B29*C29/1024/1024*B5</f>
        <v/>
      </c>
      <c r="E29" s="15">
        <f>D29*B4</f>
        <v/>
      </c>
      <c r="F29" s="2" t="inlineStr">
        <is>
          <t>~56 fields, depreciation records</t>
        </is>
      </c>
    </row>
    <row r="30">
      <c r="A30" s="6" t="inlineStr">
        <is>
          <t>transactions + GL</t>
        </is>
      </c>
      <c r="B30" s="13" t="n">
        <v>20000</v>
      </c>
      <c r="C30" s="14" t="n">
        <v>0.8</v>
      </c>
      <c r="D30" s="15">
        <f>B30*C30/1024/1024*B5</f>
        <v/>
      </c>
      <c r="E30" s="15">
        <f>D30*B4</f>
        <v/>
      </c>
      <c r="F30" s="2" t="inlineStr">
        <is>
          <t>High-volume ledger lines</t>
        </is>
      </c>
    </row>
    <row r="31">
      <c r="A31" s="6" t="inlineStr">
        <is>
          <t>Indexes overhead (this module)</t>
        </is>
      </c>
      <c r="D31" s="15">
        <f>SUM(D23:D30)*0.4</f>
        <v/>
      </c>
      <c r="E31" s="15">
        <f>D31*B4</f>
        <v/>
      </c>
      <c r="F31" s="2" t="inlineStr">
        <is>
          <t>~40% of data size</t>
        </is>
      </c>
    </row>
    <row r="32">
      <c r="A32" s="11" t="inlineStr">
        <is>
          <t>FINANCE SUBTOTAL</t>
        </is>
      </c>
      <c r="D32" s="16">
        <f>SUM(D23:D31)</f>
        <v/>
      </c>
      <c r="E32" s="16">
        <f>SUM(E23:E31)</f>
        <v/>
      </c>
    </row>
    <row r="34">
      <c r="A34" s="3" t="inlineStr">
        <is>
          <t>TARS MODULE (2 models — traffic fines + Salik toll charges)</t>
        </is>
      </c>
      <c r="B34" s="4" t="n"/>
      <c r="C34" s="4" t="n"/>
      <c r="D34" s="4" t="n"/>
      <c r="E34" s="4" t="n"/>
      <c r="F34" s="4" t="n"/>
    </row>
    <row r="35">
      <c r="A35" s="5" t="inlineStr">
        <is>
          <t>Table / Data Type</t>
        </is>
      </c>
      <c r="B35" s="5" t="inlineStr">
        <is>
          <t>Records/Co/Yr</t>
        </is>
      </c>
      <c r="C35" s="5" t="inlineStr">
        <is>
          <t>Avg Row (KB)</t>
        </is>
      </c>
      <c r="D35" s="5" t="inlineStr">
        <is>
          <t>GB/Co/Yr</t>
        </is>
      </c>
      <c r="E35" s="5" t="inlineStr">
        <is>
          <t>GB Total</t>
        </is>
      </c>
      <c r="F35" s="5" t="inlineStr">
        <is>
          <t>Basis</t>
        </is>
      </c>
    </row>
    <row r="36">
      <c r="A36" s="6" t="inlineStr">
        <is>
          <t>tars_fines</t>
        </is>
      </c>
      <c r="B36" s="13" t="n">
        <v>2400</v>
      </c>
      <c r="C36" s="14" t="n">
        <v>1</v>
      </c>
      <c r="D36" s="15">
        <f>B36*C36/1024/1024*B5</f>
        <v/>
      </c>
      <c r="E36" s="15">
        <f>D36*B4</f>
        <v/>
      </c>
      <c r="F36" s="2" t="inlineStr">
        <is>
          <t>~19 fields, 200/mo × 12</t>
        </is>
      </c>
    </row>
    <row r="37">
      <c r="A37" s="6" t="inlineStr">
        <is>
          <t>tars_salik</t>
        </is>
      </c>
      <c r="B37" s="13" t="n">
        <v>6000</v>
      </c>
      <c r="C37" s="14" t="n">
        <v>0.7</v>
      </c>
      <c r="D37" s="15">
        <f>B37*C37/1024/1024*B5</f>
        <v/>
      </c>
      <c r="E37" s="15">
        <f>D37*B4</f>
        <v/>
      </c>
      <c r="F37" s="2" t="inlineStr">
        <is>
          <t>~16 fields, toll charges daily</t>
        </is>
      </c>
    </row>
    <row r="38">
      <c r="A38" s="6" t="inlineStr">
        <is>
          <t>Indexes overhead</t>
        </is>
      </c>
      <c r="D38" s="15">
        <f>SUM(D36:D37)*0.4</f>
        <v/>
      </c>
      <c r="E38" s="15">
        <f>D38*B4</f>
        <v/>
      </c>
      <c r="F38" s="2" t="inlineStr">
        <is>
          <t>~40%</t>
        </is>
      </c>
    </row>
    <row r="39">
      <c r="A39" s="11" t="inlineStr">
        <is>
          <t>TARS SUBTOTAL</t>
        </is>
      </c>
      <c r="D39" s="16">
        <f>SUM(D36:D38)</f>
        <v/>
      </c>
      <c r="E39" s="16">
        <f>SUM(E36:E38)</f>
        <v/>
      </c>
    </row>
    <row r="41">
      <c r="A41" s="3" t="inlineStr">
        <is>
          <t>HR MODULE (2 models — payroll, salary records)</t>
        </is>
      </c>
      <c r="B41" s="4" t="n"/>
      <c r="C41" s="4" t="n"/>
      <c r="D41" s="4" t="n"/>
      <c r="E41" s="4" t="n"/>
      <c r="F41" s="4" t="n"/>
    </row>
    <row r="42">
      <c r="A42" s="5" t="inlineStr">
        <is>
          <t>Table / Data Type</t>
        </is>
      </c>
      <c r="B42" s="5" t="inlineStr">
        <is>
          <t>Records/Co/Yr</t>
        </is>
      </c>
      <c r="C42" s="5" t="inlineStr">
        <is>
          <t>Avg Row (KB)</t>
        </is>
      </c>
      <c r="D42" s="5" t="inlineStr">
        <is>
          <t>GB/Co/Yr</t>
        </is>
      </c>
      <c r="E42" s="5" t="inlineStr">
        <is>
          <t>GB Total</t>
        </is>
      </c>
      <c r="F42" s="5" t="inlineStr">
        <is>
          <t>Basis</t>
        </is>
      </c>
    </row>
    <row r="43">
      <c r="A43" s="6" t="inlineStr">
        <is>
          <t>employee_salary_records</t>
        </is>
      </c>
      <c r="B43" s="13" t="n">
        <v>600</v>
      </c>
      <c r="C43" s="14" t="n">
        <v>1.2</v>
      </c>
      <c r="D43" s="15">
        <f>B43*C43/1024/1024*B5</f>
        <v/>
      </c>
      <c r="E43" s="15">
        <f>D43*B4</f>
        <v/>
      </c>
      <c r="F43" s="2" t="inlineStr">
        <is>
          <t>~29 fields, 50 emp × 12 months</t>
        </is>
      </c>
    </row>
    <row r="44">
      <c r="A44" s="6" t="inlineStr">
        <is>
          <t>payroll_cycles</t>
        </is>
      </c>
      <c r="B44" s="13" t="n">
        <v>12</v>
      </c>
      <c r="C44" s="14" t="n">
        <v>1</v>
      </c>
      <c r="D44" s="15">
        <f>B44*C44/1024/1024*B5</f>
        <v/>
      </c>
      <c r="E44" s="15">
        <f>D44*B4</f>
        <v/>
      </c>
      <c r="F44" s="2" t="inlineStr">
        <is>
          <t>~27 fields, monthly cycle</t>
        </is>
      </c>
    </row>
    <row r="45">
      <c r="A45" s="6" t="inlineStr">
        <is>
          <t>attendance + leave (est.)</t>
        </is>
      </c>
      <c r="B45" s="13" t="n">
        <v>15000</v>
      </c>
      <c r="C45" s="14" t="n">
        <v>0.3</v>
      </c>
      <c r="D45" s="15">
        <f>B45*C45/1024/1024*B5</f>
        <v/>
      </c>
      <c r="E45" s="15">
        <f>D45*B4</f>
        <v/>
      </c>
      <c r="F45" s="2" t="inlineStr">
        <is>
          <t>Daily records × 50 employees</t>
        </is>
      </c>
    </row>
    <row r="46">
      <c r="A46" s="6" t="inlineStr">
        <is>
          <t>Indexes overhead</t>
        </is>
      </c>
      <c r="D46" s="15">
        <f>SUM(D43:D45)*0.4</f>
        <v/>
      </c>
      <c r="E46" s="15">
        <f>D46*B4</f>
        <v/>
      </c>
      <c r="F46" s="2" t="inlineStr">
        <is>
          <t>~40%</t>
        </is>
      </c>
    </row>
    <row r="47">
      <c r="A47" s="11" t="inlineStr">
        <is>
          <t>HR SUBTOTAL</t>
        </is>
      </c>
      <c r="D47" s="16">
        <f>SUM(D43:D46)</f>
        <v/>
      </c>
      <c r="E47" s="16">
        <f>SUM(E43:E46)</f>
        <v/>
      </c>
    </row>
    <row r="49">
      <c r="A49" s="3" t="inlineStr">
        <is>
          <t>SERVICE CENTER + RECOVERY + ADMIN + OTHER (145 models)</t>
        </is>
      </c>
      <c r="B49" s="4" t="n"/>
      <c r="C49" s="4" t="n"/>
      <c r="D49" s="4" t="n"/>
      <c r="E49" s="4" t="n"/>
      <c r="F49" s="4" t="n"/>
    </row>
    <row r="50">
      <c r="A50" s="5" t="inlineStr">
        <is>
          <t>Table / Data Type</t>
        </is>
      </c>
      <c r="B50" s="5" t="inlineStr">
        <is>
          <t>Records/Co/Yr</t>
        </is>
      </c>
      <c r="C50" s="5" t="inlineStr">
        <is>
          <t>Avg Row (KB)</t>
        </is>
      </c>
      <c r="D50" s="5" t="inlineStr">
        <is>
          <t>GB/Co/Yr</t>
        </is>
      </c>
      <c r="E50" s="5" t="inlineStr">
        <is>
          <t>GB Total</t>
        </is>
      </c>
      <c r="F50" s="5" t="inlineStr">
        <is>
          <t>Basis</t>
        </is>
      </c>
    </row>
    <row r="51">
      <c r="A51" s="6" t="inlineStr">
        <is>
          <t>service_booking + work_tasks</t>
        </is>
      </c>
      <c r="B51" s="13" t="n">
        <v>1200</v>
      </c>
      <c r="C51" s="14" t="n">
        <v>1.5</v>
      </c>
      <c r="D51" s="15">
        <f>B51*C51/1024/1024*B5</f>
        <v/>
      </c>
      <c r="E51" s="15">
        <f>D51*B4</f>
        <v/>
      </c>
      <c r="F51" s="2" t="inlineStr">
        <is>
          <t>~32 fields, 100/mo</t>
        </is>
      </c>
    </row>
    <row r="52">
      <c r="A52" s="6" t="inlineStr">
        <is>
          <t>spare_parts inventory</t>
        </is>
      </c>
      <c r="B52" s="13" t="n">
        <v>500</v>
      </c>
      <c r="C52" s="14" t="n">
        <v>0.8</v>
      </c>
      <c r="D52" s="15">
        <f>B52*C52/1024/1024*B5</f>
        <v/>
      </c>
      <c r="E52" s="15">
        <f>D52*B4</f>
        <v/>
      </c>
      <c r="F52" s="2" t="inlineStr">
        <is>
          <t>~19 fields, catalog</t>
        </is>
      </c>
    </row>
    <row r="53">
      <c r="A53" s="6" t="inlineStr">
        <is>
          <t>recovery_jobs</t>
        </is>
      </c>
      <c r="B53" s="13" t="n">
        <v>600</v>
      </c>
      <c r="C53" s="14" t="n">
        <v>2.5</v>
      </c>
      <c r="D53" s="15">
        <f>B53*C53/1024/1024*B5</f>
        <v/>
      </c>
      <c r="E53" s="15">
        <f>D53*B4</f>
        <v/>
      </c>
      <c r="F53" s="2" t="inlineStr">
        <is>
          <t>~71 fields, 50/mo</t>
        </is>
      </c>
    </row>
    <row r="54">
      <c r="A54" s="6" t="inlineStr">
        <is>
          <t>users + roles + permissions</t>
        </is>
      </c>
      <c r="B54" s="13" t="n">
        <v>200</v>
      </c>
      <c r="C54" s="14" t="n">
        <v>3</v>
      </c>
      <c r="D54" s="15">
        <f>B54*C54/1024/1024*B5</f>
        <v/>
      </c>
      <c r="E54" s="15">
        <f>D54*B4</f>
        <v/>
      </c>
      <c r="F54" s="2" t="inlineStr">
        <is>
          <t>~89 fields on users</t>
        </is>
      </c>
    </row>
    <row r="55">
      <c r="A55" s="6" t="inlineStr">
        <is>
          <t>audit_logs</t>
        </is>
      </c>
      <c r="B55" s="13" t="n">
        <v>50000</v>
      </c>
      <c r="C55" s="14" t="n">
        <v>0.5</v>
      </c>
      <c r="D55" s="15">
        <f>B55*C55/1024/1024*B5</f>
        <v/>
      </c>
      <c r="E55" s="15">
        <f>D55*B4</f>
        <v/>
      </c>
      <c r="F55" s="2" t="inlineStr">
        <is>
          <t>High volume, every action logged</t>
        </is>
      </c>
    </row>
    <row r="56">
      <c r="A56" s="6" t="inlineStr">
        <is>
          <t>notifications</t>
        </is>
      </c>
      <c r="B56" s="13" t="n">
        <v>20000</v>
      </c>
      <c r="C56" s="14" t="n">
        <v>0.3</v>
      </c>
      <c r="D56" s="15">
        <f>B56*C56/1024/1024*B5</f>
        <v/>
      </c>
      <c r="E56" s="15">
        <f>D56*B4</f>
        <v/>
      </c>
      <c r="F56" s="2" t="inlineStr">
        <is>
          <t>System + email + SMS stubs</t>
        </is>
      </c>
    </row>
    <row r="57">
      <c r="A57" s="6" t="inlineStr">
        <is>
          <t>sessions + tokens</t>
        </is>
      </c>
      <c r="B57" s="13" t="n">
        <v>10000</v>
      </c>
      <c r="C57" s="14" t="n">
        <v>0.4</v>
      </c>
      <c r="D57" s="15">
        <f>B57*C57/1024/1024*B5</f>
        <v/>
      </c>
      <c r="E57" s="15">
        <f>D57*B4</f>
        <v/>
      </c>
      <c r="F57" s="2" t="inlineStr">
        <is>
          <t>Auth sessions, JWT records</t>
        </is>
      </c>
    </row>
    <row r="58">
      <c r="A58" s="6" t="inlineStr">
        <is>
          <t>blog + support_tickets</t>
        </is>
      </c>
      <c r="B58" s="13" t="n">
        <v>2000</v>
      </c>
      <c r="C58" s="14" t="n">
        <v>1</v>
      </c>
      <c r="D58" s="15">
        <f>B58*C58/1024/1024*B5</f>
        <v/>
      </c>
      <c r="E58" s="15">
        <f>D58*B4</f>
        <v/>
      </c>
      <c r="F58" s="2" t="inlineStr">
        <is>
          <t>~23 fields + 12 indexes on tickets</t>
        </is>
      </c>
    </row>
    <row r="59">
      <c r="A59" s="6" t="inlineStr">
        <is>
          <t>Indexes overhead (all above)</t>
        </is>
      </c>
      <c r="D59" s="15">
        <f>SUM(D51:D58)*0.4</f>
        <v/>
      </c>
      <c r="E59" s="15">
        <f>D59*B4</f>
        <v/>
      </c>
      <c r="F59" s="2" t="inlineStr">
        <is>
          <t>~40%</t>
        </is>
      </c>
    </row>
    <row r="60">
      <c r="A60" s="11" t="inlineStr">
        <is>
          <t>OTHER SUBTOTAL</t>
        </is>
      </c>
      <c r="D60" s="16">
        <f>SUM(D51:D59)</f>
        <v/>
      </c>
      <c r="E60" s="16">
        <f>SUM(E51:E59)</f>
        <v/>
      </c>
    </row>
    <row r="62">
      <c r="A62" s="17" t="inlineStr">
        <is>
          <t>GRAND TOTAL STORAGE</t>
        </is>
      </c>
      <c r="D62" s="18">
        <f>D19+D32+D39+D47+D60</f>
        <v/>
      </c>
      <c r="E62" s="18">
        <f>E19+E32+E39+E47+E60</f>
        <v/>
      </c>
      <c r="F62" s="11" t="inlineStr">
        <is>
          <t>GB</t>
        </is>
      </c>
    </row>
  </sheetData>
  <mergeCells count="6">
    <mergeCell ref="A41:F41"/>
    <mergeCell ref="A49:F49"/>
    <mergeCell ref="A1:F1"/>
    <mergeCell ref="A34:F34"/>
    <mergeCell ref="A21:F2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COMPUTE USAGE — Hours × CU Size × Rate = Cost</t>
        </is>
      </c>
    </row>
    <row r="2">
      <c r="A2" s="2" t="inlineStr">
        <is>
          <t>Neon bills per CU-hour. More queries or heavier queries = higher CU = higher cost.</t>
        </is>
      </c>
    </row>
    <row r="4">
      <c r="A4" s="3" t="inlineStr">
        <is>
          <t>TIME INPUTS</t>
        </is>
      </c>
      <c r="B4" s="4" t="n"/>
      <c r="C4" s="4" t="n"/>
      <c r="D4" s="4" t="n"/>
      <c r="E4" s="4" t="n"/>
      <c r="F4" s="4" t="n"/>
    </row>
    <row r="5">
      <c r="A5" s="11" t="inlineStr">
        <is>
          <t>Business hours per day</t>
        </is>
      </c>
      <c r="B5" s="12" t="n">
        <v>14</v>
      </c>
      <c r="F5" s="2" t="inlineStr">
        <is>
          <t>UAE: ~8am to 10pm</t>
        </is>
      </c>
    </row>
    <row r="6">
      <c r="A6" s="11" t="inlineStr">
        <is>
          <t>Off-peak hours per day</t>
        </is>
      </c>
      <c r="B6" s="12" t="n">
        <v>10</v>
      </c>
      <c r="F6" s="2" t="inlineStr">
        <is>
          <t>10pm to 8am</t>
        </is>
      </c>
    </row>
    <row r="7">
      <c r="A7" s="11" t="inlineStr">
        <is>
          <t>Days per month</t>
        </is>
      </c>
      <c r="B7" s="12" t="n">
        <v>30</v>
      </c>
    </row>
    <row r="8">
      <c r="A8" s="11" t="inlineStr">
        <is>
          <t>Business hours/month</t>
        </is>
      </c>
      <c r="B8" s="19">
        <f>B5*B7</f>
        <v/>
      </c>
    </row>
    <row r="9">
      <c r="A9" s="11" t="inlineStr">
        <is>
          <t>Off-peak hours/month</t>
        </is>
      </c>
      <c r="B9" s="19">
        <f>B6*B7</f>
        <v/>
      </c>
    </row>
    <row r="11">
      <c r="A11" s="3" t="inlineStr">
        <is>
          <t>OPTION A: STARTER (Neon Launch)</t>
        </is>
      </c>
      <c r="B11" s="4" t="n"/>
      <c r="C11" s="4" t="n"/>
      <c r="D11" s="4" t="n"/>
      <c r="E11" s="4" t="n"/>
      <c r="F11" s="4" t="n"/>
    </row>
    <row r="12">
      <c r="A12" s="5" t="inlineStr">
        <is>
          <t>Period</t>
        </is>
      </c>
      <c r="B12" s="5" t="inlineStr">
        <is>
          <t>CU Size</t>
        </is>
      </c>
      <c r="C12" s="5" t="inlineStr">
        <is>
          <t>Hours</t>
        </is>
      </c>
      <c r="D12" s="5" t="inlineStr">
        <is>
          <t>CU-Hours</t>
        </is>
      </c>
      <c r="E12" s="5" t="inlineStr">
        <is>
          <t>× Rate</t>
        </is>
      </c>
      <c r="F12" s="5" t="inlineStr">
        <is>
          <t>Cost</t>
        </is>
      </c>
    </row>
    <row r="13">
      <c r="A13" s="6" t="inlineStr">
        <is>
          <t>Business hours (avg load)</t>
        </is>
      </c>
      <c r="B13" s="14" t="n">
        <v>1</v>
      </c>
      <c r="C13" s="20">
        <f>B8</f>
        <v/>
      </c>
      <c r="D13" s="20">
        <f>B13*C13</f>
        <v/>
      </c>
      <c r="E13" s="21">
        <f>'Unit Prices'!B6</f>
        <v/>
      </c>
      <c r="F13" s="22">
        <f>D13*E13</f>
        <v/>
      </c>
    </row>
    <row r="14">
      <c r="A14" s="6" t="inlineStr">
        <is>
          <t>Off-peak (minimal, before scale-to-zero)</t>
        </is>
      </c>
      <c r="B14" s="14" t="n">
        <v>0.25</v>
      </c>
      <c r="C14" s="20">
        <f>B9</f>
        <v/>
      </c>
      <c r="D14" s="20">
        <f>B14*C14</f>
        <v/>
      </c>
      <c r="E14" s="21">
        <f>'Unit Prices'!B6</f>
        <v/>
      </c>
      <c r="F14" s="22">
        <f>D14*E14</f>
        <v/>
      </c>
    </row>
    <row r="15">
      <c r="A15" s="11" t="inlineStr">
        <is>
          <t>OPTION A — COMPUTE TOTAL</t>
        </is>
      </c>
      <c r="D15" s="23">
        <f>D13+D14</f>
        <v/>
      </c>
      <c r="E15" s="2" t="inlineStr">
        <is>
          <t>CU-hrs total</t>
        </is>
      </c>
      <c r="F15" s="24">
        <f>F13+F14</f>
        <v/>
      </c>
    </row>
    <row r="17">
      <c r="A17" s="3" t="inlineStr">
        <is>
          <t>OPTION B: GROWTH (Neon Launch, higher CU)</t>
        </is>
      </c>
      <c r="B17" s="4" t="n"/>
      <c r="C17" s="4" t="n"/>
      <c r="D17" s="4" t="n"/>
      <c r="E17" s="4" t="n"/>
      <c r="F17" s="4" t="n"/>
    </row>
    <row r="18">
      <c r="A18" s="5" t="inlineStr">
        <is>
          <t>Period</t>
        </is>
      </c>
      <c r="B18" s="5" t="inlineStr">
        <is>
          <t>CU Size</t>
        </is>
      </c>
      <c r="C18" s="5" t="inlineStr">
        <is>
          <t>Hours</t>
        </is>
      </c>
      <c r="D18" s="5" t="inlineStr">
        <is>
          <t>CU-Hours</t>
        </is>
      </c>
      <c r="E18" s="5" t="inlineStr">
        <is>
          <t>× Rate</t>
        </is>
      </c>
      <c r="F18" s="5" t="inlineStr">
        <is>
          <t>Cost</t>
        </is>
      </c>
    </row>
    <row r="19">
      <c r="A19" s="6" t="inlineStr">
        <is>
          <t>Business hours (heavier queries)</t>
        </is>
      </c>
      <c r="B19" s="14" t="n">
        <v>2</v>
      </c>
      <c r="C19" s="20">
        <f>B8</f>
        <v/>
      </c>
      <c r="D19" s="20">
        <f>B19*C19</f>
        <v/>
      </c>
      <c r="E19" s="21">
        <f>'Unit Prices'!B6</f>
        <v/>
      </c>
      <c r="F19" s="22">
        <f>D19*E19</f>
        <v/>
      </c>
    </row>
    <row r="20">
      <c r="A20" s="6" t="inlineStr">
        <is>
          <t>Off-peak</t>
        </is>
      </c>
      <c r="B20" s="14" t="n">
        <v>0.5</v>
      </c>
      <c r="C20" s="20">
        <f>B9</f>
        <v/>
      </c>
      <c r="D20" s="20">
        <f>B20*C20</f>
        <v/>
      </c>
      <c r="E20" s="21">
        <f>'Unit Prices'!B6</f>
        <v/>
      </c>
      <c r="F20" s="22">
        <f>D20*E20</f>
        <v/>
      </c>
    </row>
    <row r="21">
      <c r="A21" s="11" t="inlineStr">
        <is>
          <t>OPTION B — COMPUTE TOTAL</t>
        </is>
      </c>
      <c r="D21" s="23">
        <f>D19+D20</f>
        <v/>
      </c>
      <c r="F21" s="24">
        <f>F19+F20</f>
        <v/>
      </c>
    </row>
    <row r="23">
      <c r="A23" s="3" t="inlineStr">
        <is>
          <t>OPTION C: ENTERPRISE (Neon Scale, always-on + replica)</t>
        </is>
      </c>
      <c r="B23" s="4" t="n"/>
      <c r="C23" s="4" t="n"/>
      <c r="D23" s="4" t="n"/>
      <c r="E23" s="4" t="n"/>
      <c r="F23" s="4" t="n"/>
    </row>
    <row r="24">
      <c r="A24" s="5" t="inlineStr">
        <is>
          <t>Period</t>
        </is>
      </c>
      <c r="B24" s="5" t="inlineStr">
        <is>
          <t>CU Size</t>
        </is>
      </c>
      <c r="C24" s="5" t="inlineStr">
        <is>
          <t>Hours</t>
        </is>
      </c>
      <c r="D24" s="5" t="inlineStr">
        <is>
          <t>CU-Hours</t>
        </is>
      </c>
      <c r="E24" s="5" t="inlineStr">
        <is>
          <t>× Rate</t>
        </is>
      </c>
      <c r="F24" s="5" t="inlineStr">
        <is>
          <t>Cost</t>
        </is>
      </c>
    </row>
    <row r="25">
      <c r="A25" s="6" t="inlineStr">
        <is>
          <t>Primary compute (always-on)</t>
        </is>
      </c>
      <c r="B25" s="14" t="n">
        <v>2</v>
      </c>
      <c r="C25" s="13" t="n">
        <v>730</v>
      </c>
      <c r="D25" s="20">
        <f>B25*C25</f>
        <v/>
      </c>
      <c r="E25" s="21">
        <f>'Unit Prices'!C6</f>
        <v/>
      </c>
      <c r="F25" s="22">
        <f>D25*E25</f>
        <v/>
      </c>
    </row>
    <row r="26">
      <c r="A26" s="6" t="inlineStr">
        <is>
          <t>Read replica (reporting)</t>
        </is>
      </c>
      <c r="B26" s="14" t="n">
        <v>0.5</v>
      </c>
      <c r="C26" s="13" t="n">
        <v>730</v>
      </c>
      <c r="D26" s="20">
        <f>B26*C26</f>
        <v/>
      </c>
      <c r="E26" s="21">
        <f>'Unit Prices'!C6</f>
        <v/>
      </c>
      <c r="F26" s="22">
        <f>D26*E26</f>
        <v/>
      </c>
    </row>
    <row r="27">
      <c r="A27" s="11" t="inlineStr">
        <is>
          <t>OPTION C — COMPUTE TOTAL</t>
        </is>
      </c>
      <c r="D27" s="23">
        <f>D25+D26</f>
        <v/>
      </c>
      <c r="F27" s="24">
        <f>F25+F26</f>
        <v/>
      </c>
    </row>
  </sheetData>
  <mergeCells count="5">
    <mergeCell ref="A11:F11"/>
    <mergeCell ref="A1:F1"/>
    <mergeCell ref="A23:F23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ROLLUP — Every line = Quantity × Unit Price</t>
        </is>
      </c>
    </row>
    <row r="2">
      <c r="A2" s="2" t="inlineStr">
        <is>
          <t>No lump sums. Change any input on prior sheets and costs recalculate.</t>
        </is>
      </c>
    </row>
    <row r="4">
      <c r="A4" s="3" t="inlineStr">
        <is>
          <t>OPTION A: STARTER</t>
        </is>
      </c>
      <c r="B4" s="4" t="n"/>
      <c r="C4" s="4" t="n"/>
      <c r="D4" s="4" t="n"/>
      <c r="E4" s="4" t="n"/>
      <c r="F4" s="4" t="n"/>
    </row>
    <row r="5">
      <c r="A5" s="5" t="inlineStr">
        <is>
          <t>Line Item</t>
        </is>
      </c>
      <c r="B5" s="5" t="inlineStr">
        <is>
          <t>Quantity</t>
        </is>
      </c>
      <c r="C5" s="5" t="inlineStr">
        <is>
          <t>Unit</t>
        </is>
      </c>
      <c r="D5" s="5" t="inlineStr">
        <is>
          <t>Unit Price</t>
        </is>
      </c>
      <c r="E5" s="5" t="inlineStr">
        <is>
          <t>Subtotal</t>
        </is>
      </c>
      <c r="F5" s="5" t="inlineStr">
        <is>
          <t>Notes</t>
        </is>
      </c>
    </row>
    <row r="6">
      <c r="A6" s="6" t="inlineStr">
        <is>
          <t>Neon Compute (Launch)</t>
        </is>
      </c>
      <c r="B6" s="20" t="n">
        <v>1</v>
      </c>
      <c r="C6" s="6" t="inlineStr">
        <is>
          <t>lump (see Compute Usage)</t>
        </is>
      </c>
      <c r="E6" s="22">
        <f>'Compute Usage'!F15</f>
        <v/>
      </c>
      <c r="F6" s="2" t="inlineStr">
        <is>
          <t>CU-hours × rate — see Compute Usage sheet</t>
        </is>
      </c>
    </row>
    <row r="7">
      <c r="A7" s="6" t="inlineStr">
        <is>
          <t>Neon Storage</t>
        </is>
      </c>
      <c r="B7" s="25">
        <f>'Data Volume'!E62</f>
        <v/>
      </c>
      <c r="C7" s="6" t="inlineStr">
        <is>
          <t>GB-month</t>
        </is>
      </c>
      <c r="D7" s="21">
        <f>'Unit Prices'!B7</f>
        <v/>
      </c>
      <c r="E7" s="22">
        <f>B7*D7</f>
        <v/>
      </c>
      <c r="F7" s="2" t="inlineStr">
        <is>
          <t>From Data Volume sheet</t>
        </is>
      </c>
    </row>
    <row r="8">
      <c r="A8" s="6" t="inlineStr">
        <is>
          <t>Neon Instant Restore</t>
        </is>
      </c>
      <c r="B8" s="14" t="n">
        <v>5</v>
      </c>
      <c r="C8" s="6" t="inlineStr">
        <is>
          <t>GB-month (changes)</t>
        </is>
      </c>
      <c r="D8" s="21">
        <f>'Unit Prices'!B8</f>
        <v/>
      </c>
      <c r="E8" s="22">
        <f>B8*D8</f>
        <v/>
      </c>
      <c r="F8" s="2" t="inlineStr">
        <is>
          <t>WAL retention for point-in-time recovery</t>
        </is>
      </c>
    </row>
    <row r="9">
      <c r="A9" s="6" t="inlineStr">
        <is>
          <t>Neon Network Egress (over 100 GB)</t>
        </is>
      </c>
      <c r="B9" s="14" t="n">
        <v>0</v>
      </c>
      <c r="C9" s="6" t="inlineStr">
        <is>
          <t>GB over included</t>
        </is>
      </c>
      <c r="D9" s="21">
        <f>'Unit Prices'!B9</f>
        <v/>
      </c>
      <c r="E9" s="22">
        <f>B9*D9</f>
        <v/>
      </c>
      <c r="F9" s="2" t="inlineStr">
        <is>
          <t>100 GB included free on paid plans</t>
        </is>
      </c>
    </row>
    <row r="10">
      <c r="A10" s="11" t="inlineStr">
        <is>
          <t>NEON SUBTOTAL</t>
        </is>
      </c>
      <c r="E10" s="24">
        <f>E6+E7+E8+E9</f>
        <v/>
      </c>
    </row>
    <row r="11">
      <c r="A11" s="6" t="inlineStr">
        <is>
          <t>Render Backend API</t>
        </is>
      </c>
      <c r="B11" s="13" t="n">
        <v>1</v>
      </c>
      <c r="C11" s="6" t="inlineStr">
        <is>
          <t>instance(s)</t>
        </is>
      </c>
      <c r="D11" s="26">
        <f>'Unit Prices'!B16</f>
        <v/>
      </c>
      <c r="E11" s="22">
        <f>B11*D11</f>
        <v/>
      </c>
    </row>
    <row r="12">
      <c r="A12" s="6" t="inlineStr">
        <is>
          <t>Render Frontend (Static Site)</t>
        </is>
      </c>
      <c r="B12" s="10" t="n">
        <v>1</v>
      </c>
      <c r="C12" s="6" t="inlineStr">
        <is>
          <t>site</t>
        </is>
      </c>
      <c r="D12" s="26" t="n">
        <v>0</v>
      </c>
      <c r="E12" s="22">
        <f>B12*D12</f>
        <v/>
      </c>
      <c r="F12" s="2" t="inlineStr">
        <is>
          <t>Free tier</t>
        </is>
      </c>
    </row>
    <row r="13">
      <c r="A13" s="6" t="inlineStr">
        <is>
          <t>Render Background Worker</t>
        </is>
      </c>
      <c r="B13" s="13" t="n">
        <v>1</v>
      </c>
      <c r="C13" s="6" t="inlineStr">
        <is>
          <t>instance(s)</t>
        </is>
      </c>
      <c r="D13" s="26">
        <f>'Unit Prices'!B15</f>
        <v/>
      </c>
      <c r="E13" s="22">
        <f>B13*D13</f>
        <v/>
      </c>
    </row>
    <row r="14">
      <c r="A14" s="6" t="inlineStr">
        <is>
          <t>Render Team Workspace</t>
        </is>
      </c>
      <c r="B14" s="13" t="n">
        <v>0</v>
      </c>
      <c r="C14" s="6" t="inlineStr">
        <is>
          <t>seat(s)</t>
        </is>
      </c>
      <c r="D14" s="27" t="n">
        <v>19</v>
      </c>
      <c r="E14" s="22">
        <f>B14*D14</f>
        <v/>
      </c>
      <c r="F14" s="2" t="inlineStr">
        <is>
          <t>$19/seat/mo (0 = Individual plan)</t>
        </is>
      </c>
    </row>
    <row r="15">
      <c r="A15" s="11" t="inlineStr">
        <is>
          <t>RENDER SUBTOTAL</t>
        </is>
      </c>
      <c r="E15" s="24">
        <f>E11+E12+E13+E14</f>
        <v/>
      </c>
    </row>
    <row r="16">
      <c r="A16" s="28" t="inlineStr">
        <is>
          <t>OPTION A: STARTER — TOTAL / MONTH</t>
        </is>
      </c>
      <c r="B16" s="29" t="n"/>
      <c r="C16" s="29" t="n"/>
      <c r="D16" s="29" t="n"/>
      <c r="E16" s="30">
        <f>E10+E15</f>
        <v/>
      </c>
      <c r="F16" s="29" t="n"/>
    </row>
    <row r="17">
      <c r="A17" s="11" t="inlineStr">
        <is>
          <t>Total / Year</t>
        </is>
      </c>
      <c r="E17" s="31">
        <f>E16*12</f>
        <v/>
      </c>
    </row>
    <row r="18">
      <c r="A18" s="11" t="inlineStr">
        <is>
          <t>Per Company / Month</t>
        </is>
      </c>
      <c r="E18" s="31">
        <f>E16/'Data Volume'!B4</f>
        <v/>
      </c>
    </row>
    <row r="20">
      <c r="A20" s="3" t="inlineStr">
        <is>
          <t>OPTION B: GROWTH</t>
        </is>
      </c>
      <c r="B20" s="4" t="n"/>
      <c r="C20" s="4" t="n"/>
      <c r="D20" s="4" t="n"/>
      <c r="E20" s="4" t="n"/>
      <c r="F20" s="4" t="n"/>
    </row>
    <row r="21">
      <c r="A21" s="5" t="inlineStr">
        <is>
          <t>Line Item</t>
        </is>
      </c>
      <c r="B21" s="5" t="inlineStr">
        <is>
          <t>Quantity</t>
        </is>
      </c>
      <c r="C21" s="5" t="inlineStr">
        <is>
          <t>Unit</t>
        </is>
      </c>
      <c r="D21" s="5" t="inlineStr">
        <is>
          <t>Unit Price</t>
        </is>
      </c>
      <c r="E21" s="5" t="inlineStr">
        <is>
          <t>Subtotal</t>
        </is>
      </c>
      <c r="F21" s="5" t="inlineStr">
        <is>
          <t>Notes</t>
        </is>
      </c>
    </row>
    <row r="22">
      <c r="A22" s="6" t="inlineStr">
        <is>
          <t>Neon Compute (Launch)</t>
        </is>
      </c>
      <c r="B22" s="20" t="n">
        <v>1</v>
      </c>
      <c r="C22" s="6" t="inlineStr">
        <is>
          <t>lump (see Compute Usage)</t>
        </is>
      </c>
      <c r="E22" s="22">
        <f>'Compute Usage'!F21</f>
        <v/>
      </c>
      <c r="F22" s="2" t="inlineStr">
        <is>
          <t>CU-hours × rate — see Compute Usage sheet</t>
        </is>
      </c>
    </row>
    <row r="23">
      <c r="A23" s="6" t="inlineStr">
        <is>
          <t>Neon Storage</t>
        </is>
      </c>
      <c r="B23" s="25">
        <f>'Data Volume'!E62</f>
        <v/>
      </c>
      <c r="C23" s="6" t="inlineStr">
        <is>
          <t>GB-month</t>
        </is>
      </c>
      <c r="D23" s="21">
        <f>'Unit Prices'!B7</f>
        <v/>
      </c>
      <c r="E23" s="22">
        <f>B23*D23</f>
        <v/>
      </c>
      <c r="F23" s="2" t="inlineStr">
        <is>
          <t>From Data Volume sheet</t>
        </is>
      </c>
    </row>
    <row r="24">
      <c r="A24" s="6" t="inlineStr">
        <is>
          <t>Neon Instant Restore</t>
        </is>
      </c>
      <c r="B24" s="14" t="n">
        <v>8</v>
      </c>
      <c r="C24" s="6" t="inlineStr">
        <is>
          <t>GB-month (changes)</t>
        </is>
      </c>
      <c r="D24" s="21">
        <f>'Unit Prices'!B8</f>
        <v/>
      </c>
      <c r="E24" s="22">
        <f>B24*D24</f>
        <v/>
      </c>
      <c r="F24" s="2" t="inlineStr">
        <is>
          <t>WAL retention for point-in-time recovery</t>
        </is>
      </c>
    </row>
    <row r="25">
      <c r="A25" s="6" t="inlineStr">
        <is>
          <t>Neon Network Egress (over 100 GB)</t>
        </is>
      </c>
      <c r="B25" s="14" t="n">
        <v>0</v>
      </c>
      <c r="C25" s="6" t="inlineStr">
        <is>
          <t>GB over included</t>
        </is>
      </c>
      <c r="D25" s="21">
        <f>'Unit Prices'!B9</f>
        <v/>
      </c>
      <c r="E25" s="22">
        <f>B25*D25</f>
        <v/>
      </c>
      <c r="F25" s="2" t="inlineStr">
        <is>
          <t>100 GB included free on paid plans</t>
        </is>
      </c>
    </row>
    <row r="26">
      <c r="A26" s="11" t="inlineStr">
        <is>
          <t>NEON SUBTOTAL</t>
        </is>
      </c>
      <c r="E26" s="24">
        <f>E22+E23+E24+E25</f>
        <v/>
      </c>
    </row>
    <row r="27">
      <c r="A27" s="6" t="inlineStr">
        <is>
          <t>Render Backend API</t>
        </is>
      </c>
      <c r="B27" s="13" t="n">
        <v>1</v>
      </c>
      <c r="C27" s="6" t="inlineStr">
        <is>
          <t>instance(s)</t>
        </is>
      </c>
      <c r="D27" s="26">
        <f>'Unit Prices'!B17</f>
        <v/>
      </c>
      <c r="E27" s="22">
        <f>B27*D27</f>
        <v/>
      </c>
    </row>
    <row r="28">
      <c r="A28" s="6" t="inlineStr">
        <is>
          <t>Render Frontend (Static Site)</t>
        </is>
      </c>
      <c r="B28" s="10" t="n">
        <v>1</v>
      </c>
      <c r="C28" s="6" t="inlineStr">
        <is>
          <t>site</t>
        </is>
      </c>
      <c r="D28" s="26" t="n">
        <v>0</v>
      </c>
      <c r="E28" s="22">
        <f>B28*D28</f>
        <v/>
      </c>
      <c r="F28" s="2" t="inlineStr">
        <is>
          <t>Free tier</t>
        </is>
      </c>
    </row>
    <row r="29">
      <c r="A29" s="6" t="inlineStr">
        <is>
          <t>Render Background Worker</t>
        </is>
      </c>
      <c r="B29" s="13" t="n">
        <v>1</v>
      </c>
      <c r="C29" s="6" t="inlineStr">
        <is>
          <t>instance(s)</t>
        </is>
      </c>
      <c r="D29" s="26">
        <f>'Unit Prices'!B16</f>
        <v/>
      </c>
      <c r="E29" s="22">
        <f>B29*D29</f>
        <v/>
      </c>
    </row>
    <row r="30">
      <c r="A30" s="6" t="inlineStr">
        <is>
          <t>Render Team Workspace</t>
        </is>
      </c>
      <c r="B30" s="13" t="n">
        <v>1</v>
      </c>
      <c r="C30" s="6" t="inlineStr">
        <is>
          <t>seat(s)</t>
        </is>
      </c>
      <c r="D30" s="27" t="n">
        <v>19</v>
      </c>
      <c r="E30" s="22">
        <f>B30*D30</f>
        <v/>
      </c>
      <c r="F30" s="2" t="inlineStr">
        <is>
          <t>$19/seat/mo (0 = Individual plan)</t>
        </is>
      </c>
    </row>
    <row r="31">
      <c r="A31" s="11" t="inlineStr">
        <is>
          <t>RENDER SUBTOTAL</t>
        </is>
      </c>
      <c r="E31" s="24">
        <f>E27+E28+E29+E30</f>
        <v/>
      </c>
    </row>
    <row r="32">
      <c r="A32" s="28" t="inlineStr">
        <is>
          <t>OPTION B: GROWTH — TOTAL / MONTH</t>
        </is>
      </c>
      <c r="B32" s="29" t="n"/>
      <c r="C32" s="29" t="n"/>
      <c r="D32" s="29" t="n"/>
      <c r="E32" s="30">
        <f>E26+E31</f>
        <v/>
      </c>
      <c r="F32" s="29" t="n"/>
    </row>
    <row r="33">
      <c r="A33" s="11" t="inlineStr">
        <is>
          <t>Total / Year</t>
        </is>
      </c>
      <c r="E33" s="31">
        <f>E32*12</f>
        <v/>
      </c>
    </row>
    <row r="34">
      <c r="A34" s="11" t="inlineStr">
        <is>
          <t>Per Company / Month</t>
        </is>
      </c>
      <c r="E34" s="31">
        <f>E32/'Data Volume'!B4</f>
        <v/>
      </c>
    </row>
    <row r="36">
      <c r="A36" s="3" t="inlineStr">
        <is>
          <t>OPTION C: ENTERPRISE</t>
        </is>
      </c>
      <c r="B36" s="4" t="n"/>
      <c r="C36" s="4" t="n"/>
      <c r="D36" s="4" t="n"/>
      <c r="E36" s="4" t="n"/>
      <c r="F36" s="4" t="n"/>
    </row>
    <row r="37">
      <c r="A37" s="5" t="inlineStr">
        <is>
          <t>Line Item</t>
        </is>
      </c>
      <c r="B37" s="5" t="inlineStr">
        <is>
          <t>Quantity</t>
        </is>
      </c>
      <c r="C37" s="5" t="inlineStr">
        <is>
          <t>Unit</t>
        </is>
      </c>
      <c r="D37" s="5" t="inlineStr">
        <is>
          <t>Unit Price</t>
        </is>
      </c>
      <c r="E37" s="5" t="inlineStr">
        <is>
          <t>Subtotal</t>
        </is>
      </c>
      <c r="F37" s="5" t="inlineStr">
        <is>
          <t>Notes</t>
        </is>
      </c>
    </row>
    <row r="38">
      <c r="A38" s="6" t="inlineStr">
        <is>
          <t>Neon Compute (Scale)</t>
        </is>
      </c>
      <c r="B38" s="20" t="n">
        <v>1</v>
      </c>
      <c r="C38" s="6" t="inlineStr">
        <is>
          <t>lump (see Compute Usage)</t>
        </is>
      </c>
      <c r="E38" s="22">
        <f>'Compute Usage'!F27</f>
        <v/>
      </c>
      <c r="F38" s="2" t="inlineStr">
        <is>
          <t>CU-hours × rate — see Compute Usage sheet</t>
        </is>
      </c>
    </row>
    <row r="39">
      <c r="A39" s="6" t="inlineStr">
        <is>
          <t>Neon Storage</t>
        </is>
      </c>
      <c r="B39" s="25">
        <f>'Data Volume'!E62</f>
        <v/>
      </c>
      <c r="C39" s="6" t="inlineStr">
        <is>
          <t>GB-month</t>
        </is>
      </c>
      <c r="D39" s="21">
        <f>'Unit Prices'!B7</f>
        <v/>
      </c>
      <c r="E39" s="22">
        <f>B39*D39</f>
        <v/>
      </c>
      <c r="F39" s="2" t="inlineStr">
        <is>
          <t>From Data Volume sheet</t>
        </is>
      </c>
    </row>
    <row r="40">
      <c r="A40" s="6" t="inlineStr">
        <is>
          <t>Neon Instant Restore</t>
        </is>
      </c>
      <c r="B40" s="14" t="n">
        <v>25</v>
      </c>
      <c r="C40" s="6" t="inlineStr">
        <is>
          <t>GB-month (changes)</t>
        </is>
      </c>
      <c r="D40" s="21">
        <f>'Unit Prices'!B8</f>
        <v/>
      </c>
      <c r="E40" s="22">
        <f>B40*D40</f>
        <v/>
      </c>
      <c r="F40" s="2" t="inlineStr">
        <is>
          <t>WAL retention for point-in-time recovery</t>
        </is>
      </c>
    </row>
    <row r="41">
      <c r="A41" s="6" t="inlineStr">
        <is>
          <t>Neon Network Egress (over 100 GB)</t>
        </is>
      </c>
      <c r="B41" s="14" t="n">
        <v>0</v>
      </c>
      <c r="C41" s="6" t="inlineStr">
        <is>
          <t>GB over included</t>
        </is>
      </c>
      <c r="D41" s="21">
        <f>'Unit Prices'!B9</f>
        <v/>
      </c>
      <c r="E41" s="22">
        <f>B41*D41</f>
        <v/>
      </c>
      <c r="F41" s="2" t="inlineStr">
        <is>
          <t>100 GB included free on paid plans</t>
        </is>
      </c>
    </row>
    <row r="42">
      <c r="A42" s="11" t="inlineStr">
        <is>
          <t>NEON SUBTOTAL</t>
        </is>
      </c>
      <c r="E42" s="24">
        <f>E38+E39+E40+E41</f>
        <v/>
      </c>
    </row>
    <row r="43">
      <c r="A43" s="6" t="inlineStr">
        <is>
          <t>Render Backend API</t>
        </is>
      </c>
      <c r="B43" s="13" t="n">
        <v>2</v>
      </c>
      <c r="C43" s="6" t="inlineStr">
        <is>
          <t>instance(s)</t>
        </is>
      </c>
      <c r="D43" s="26">
        <f>'Unit Prices'!B17</f>
        <v/>
      </c>
      <c r="E43" s="22">
        <f>B43*D43</f>
        <v/>
      </c>
    </row>
    <row r="44">
      <c r="A44" s="6" t="inlineStr">
        <is>
          <t>Render Frontend (Static Site)</t>
        </is>
      </c>
      <c r="B44" s="10" t="n">
        <v>1</v>
      </c>
      <c r="C44" s="6" t="inlineStr">
        <is>
          <t>site</t>
        </is>
      </c>
      <c r="D44" s="26" t="n">
        <v>0</v>
      </c>
      <c r="E44" s="22">
        <f>B44*D44</f>
        <v/>
      </c>
      <c r="F44" s="2" t="inlineStr">
        <is>
          <t>Free tier</t>
        </is>
      </c>
    </row>
    <row r="45">
      <c r="A45" s="6" t="inlineStr">
        <is>
          <t>Render Background Worker</t>
        </is>
      </c>
      <c r="B45" s="13" t="n">
        <v>1</v>
      </c>
      <c r="C45" s="6" t="inlineStr">
        <is>
          <t>instance(s)</t>
        </is>
      </c>
      <c r="D45" s="26">
        <f>'Unit Prices'!B16</f>
        <v/>
      </c>
      <c r="E45" s="22">
        <f>B45*D45</f>
        <v/>
      </c>
    </row>
    <row r="46">
      <c r="A46" s="6" t="inlineStr">
        <is>
          <t>Render Team Workspace</t>
        </is>
      </c>
      <c r="B46" s="13" t="n">
        <v>3</v>
      </c>
      <c r="C46" s="6" t="inlineStr">
        <is>
          <t>seat(s)</t>
        </is>
      </c>
      <c r="D46" s="27" t="n">
        <v>19</v>
      </c>
      <c r="E46" s="22">
        <f>B46*D46</f>
        <v/>
      </c>
      <c r="F46" s="2" t="inlineStr">
        <is>
          <t>$19/seat/mo (0 = Individual plan)</t>
        </is>
      </c>
    </row>
    <row r="47">
      <c r="A47" s="11" t="inlineStr">
        <is>
          <t>RENDER SUBTOTAL</t>
        </is>
      </c>
      <c r="E47" s="24">
        <f>E43+E44+E45+E46</f>
        <v/>
      </c>
    </row>
    <row r="48">
      <c r="A48" s="28" t="inlineStr">
        <is>
          <t>OPTION C: ENTERPRISE — TOTAL / MONTH</t>
        </is>
      </c>
      <c r="B48" s="29" t="n"/>
      <c r="C48" s="29" t="n"/>
      <c r="D48" s="29" t="n"/>
      <c r="E48" s="30">
        <f>E42+E47</f>
        <v/>
      </c>
      <c r="F48" s="29" t="n"/>
    </row>
    <row r="49">
      <c r="A49" s="11" t="inlineStr">
        <is>
          <t>Total / Year</t>
        </is>
      </c>
      <c r="E49" s="31">
        <f>E48*12</f>
        <v/>
      </c>
    </row>
    <row r="50">
      <c r="A50" s="11" t="inlineStr">
        <is>
          <t>Per Company / Month</t>
        </is>
      </c>
      <c r="E50" s="31">
        <f>E48/'Data Volume'!B4</f>
        <v/>
      </c>
    </row>
  </sheetData>
  <mergeCells count="4">
    <mergeCell ref="A20:F20"/>
    <mergeCell ref="A1:F1"/>
    <mergeCell ref="A4:F4"/>
    <mergeCell ref="A36:F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PER CLIENT COST ESTIMATE — Companies A through E</t>
        </is>
      </c>
    </row>
    <row r="2">
      <c r="A2" s="2" t="inlineStr">
        <is>
          <t>Each company has its own fleet size, user count, and data profile. Costs are proportional to usage.</t>
        </is>
      </c>
    </row>
    <row r="4">
      <c r="A4" s="3" t="inlineStr">
        <is>
          <t>CLIENT PROFILES (edit yellow cells per company)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Metric</t>
        </is>
      </c>
      <c r="B5" s="5" t="inlineStr">
        <is>
          <t>Company A</t>
        </is>
      </c>
      <c r="C5" s="5" t="inlineStr">
        <is>
          <t>Company B</t>
        </is>
      </c>
      <c r="D5" s="5" t="inlineStr">
        <is>
          <t>Company C</t>
        </is>
      </c>
      <c r="E5" s="5" t="inlineStr">
        <is>
          <t>Company D</t>
        </is>
      </c>
      <c r="F5" s="5" t="inlineStr">
        <is>
          <t>Company E</t>
        </is>
      </c>
      <c r="G5" s="5" t="inlineStr">
        <is>
          <t>TOTAL</t>
        </is>
      </c>
      <c r="H5" s="5" t="inlineStr">
        <is>
          <t>Notes</t>
        </is>
      </c>
    </row>
    <row r="6">
      <c r="A6" s="11" t="inlineStr">
        <is>
          <t>Company Name</t>
        </is>
      </c>
      <c r="B6" s="32" t="inlineStr">
        <is>
          <t>Al Raha Fleet</t>
        </is>
      </c>
      <c r="C6" s="32" t="inlineStr">
        <is>
          <t>Desert Star Rental</t>
        </is>
      </c>
      <c r="D6" s="32" t="inlineStr">
        <is>
          <t>Gulf Line Cars</t>
        </is>
      </c>
      <c r="E6" s="32" t="inlineStr">
        <is>
          <t>Oasis Motors</t>
        </is>
      </c>
      <c r="F6" s="32" t="inlineStr">
        <is>
          <t>Palm Drive LLC</t>
        </is>
      </c>
      <c r="H6" s="2" t="inlineStr">
        <is>
          <t>Example names — edit to match actual clients</t>
        </is>
      </c>
    </row>
    <row r="7">
      <c r="A7" s="11" t="inlineStr">
        <is>
          <t>Fleet size (vehicles)</t>
        </is>
      </c>
      <c r="B7" s="13" t="n">
        <v>120</v>
      </c>
      <c r="C7" s="13" t="n">
        <v>250</v>
      </c>
      <c r="D7" s="13" t="n">
        <v>80</v>
      </c>
      <c r="E7" s="13" t="n">
        <v>300</v>
      </c>
      <c r="F7" s="13" t="n">
        <v>150</v>
      </c>
      <c r="G7" s="19">
        <f>SUM(B7:F7)</f>
        <v/>
      </c>
    </row>
    <row r="8">
      <c r="A8" s="11" t="inlineStr">
        <is>
          <t>Concurrent users (peak)</t>
        </is>
      </c>
      <c r="B8" s="13" t="n">
        <v>10</v>
      </c>
      <c r="C8" s="13" t="n">
        <v>25</v>
      </c>
      <c r="D8" s="13" t="n">
        <v>8</v>
      </c>
      <c r="E8" s="13" t="n">
        <v>30</v>
      </c>
      <c r="F8" s="13" t="n">
        <v>15</v>
      </c>
      <c r="G8" s="19">
        <f>SUM(B8:F8)</f>
        <v/>
      </c>
    </row>
    <row r="9">
      <c r="A9" s="11" t="inlineStr">
        <is>
          <t>Contracts / month</t>
        </is>
      </c>
      <c r="B9" s="13" t="n">
        <v>70</v>
      </c>
      <c r="C9" s="13" t="n">
        <v>160</v>
      </c>
      <c r="D9" s="13" t="n">
        <v>45</v>
      </c>
      <c r="E9" s="13" t="n">
        <v>200</v>
      </c>
      <c r="F9" s="13" t="n">
        <v>90</v>
      </c>
      <c r="G9" s="19">
        <f>SUM(B9:F9)</f>
        <v/>
      </c>
      <c r="H9" s="2" t="inlineStr">
        <is>
          <t>~50-70% of fleet, mix of short/long-term</t>
        </is>
      </c>
    </row>
    <row r="10">
      <c r="A10" s="11" t="inlineStr">
        <is>
          <t>Invoices / month</t>
        </is>
      </c>
      <c r="B10" s="13" t="n">
        <v>85</v>
      </c>
      <c r="C10" s="13" t="n">
        <v>190</v>
      </c>
      <c r="D10" s="13" t="n">
        <v>55</v>
      </c>
      <c r="E10" s="13" t="n">
        <v>240</v>
      </c>
      <c r="F10" s="13" t="n">
        <v>110</v>
      </c>
      <c r="G10" s="19">
        <f>SUM(B10:F10)</f>
        <v/>
      </c>
      <c r="H10" s="2" t="inlineStr">
        <is>
          <t>Contracts + extensions + additional charges</t>
        </is>
      </c>
    </row>
    <row r="11">
      <c r="A11" s="11" t="inlineStr">
        <is>
          <t>TARS fines / month</t>
        </is>
      </c>
      <c r="B11" s="13" t="n">
        <v>80</v>
      </c>
      <c r="C11" s="13" t="n">
        <v>200</v>
      </c>
      <c r="D11" s="13" t="n">
        <v>50</v>
      </c>
      <c r="E11" s="13" t="n">
        <v>250</v>
      </c>
      <c r="F11" s="13" t="n">
        <v>120</v>
      </c>
      <c r="G11" s="19">
        <f>SUM(B11:F11)</f>
        <v/>
      </c>
    </row>
    <row r="12">
      <c r="A12" s="11" t="inlineStr">
        <is>
          <t>Employees (HR)</t>
        </is>
      </c>
      <c r="B12" s="13" t="n">
        <v>25</v>
      </c>
      <c r="C12" s="13" t="n">
        <v>60</v>
      </c>
      <c r="D12" s="13" t="n">
        <v>15</v>
      </c>
      <c r="E12" s="13" t="n">
        <v>80</v>
      </c>
      <c r="F12" s="13" t="n">
        <v>40</v>
      </c>
      <c r="G12" s="19">
        <f>SUM(B12:F12)</f>
        <v/>
      </c>
    </row>
    <row r="13">
      <c r="A13" s="11" t="inlineStr">
        <is>
          <t>Customers in DB</t>
        </is>
      </c>
      <c r="B13" s="13" t="n">
        <v>800</v>
      </c>
      <c r="C13" s="13" t="n">
        <v>2000</v>
      </c>
      <c r="D13" s="13" t="n">
        <v>500</v>
      </c>
      <c r="E13" s="13" t="n">
        <v>3000</v>
      </c>
      <c r="F13" s="13" t="n">
        <v>1200</v>
      </c>
      <c r="G13" s="19">
        <f>SUM(B13:F13)</f>
        <v/>
      </c>
    </row>
    <row r="15">
      <c r="A15" s="3" t="inlineStr">
        <is>
          <t>ESTIMATED STORAGE PER CLIENT (GB) — records × avg row size + 40% index overhead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Data Category</t>
        </is>
      </c>
      <c r="B16" s="5" t="inlineStr">
        <is>
          <t>Company A</t>
        </is>
      </c>
      <c r="C16" s="5" t="inlineStr">
        <is>
          <t>Company B</t>
        </is>
      </c>
      <c r="D16" s="5" t="inlineStr">
        <is>
          <t>Company C</t>
        </is>
      </c>
      <c r="E16" s="5" t="inlineStr">
        <is>
          <t>Company D</t>
        </is>
      </c>
      <c r="F16" s="5" t="inlineStr">
        <is>
          <t>Company E</t>
        </is>
      </c>
      <c r="G16" s="5" t="inlineStr">
        <is>
          <t>TOTAL</t>
        </is>
      </c>
      <c r="H16" s="5" t="inlineStr">
        <is>
          <t>Calculation</t>
        </is>
      </c>
    </row>
    <row r="17">
      <c r="A17" s="6" t="inlineStr">
        <is>
          <t>Vehicles + movements</t>
        </is>
      </c>
      <c r="B17" s="15">
        <f>(B7*2.5 + B7*12*1.8)/1024/1024</f>
        <v/>
      </c>
      <c r="C17" s="15">
        <f>(C7*2.5 + C7*12*1.8)/1024/1024</f>
        <v/>
      </c>
      <c r="D17" s="15">
        <f>(D7*2.5 + D7*12*1.8)/1024/1024</f>
        <v/>
      </c>
      <c r="E17" s="15">
        <f>(E7*2.5 + E7*12*1.8)/1024/1024</f>
        <v/>
      </c>
      <c r="F17" s="15">
        <f>(F7*2.5 + F7*12*1.8)/1024/1024</f>
        <v/>
      </c>
      <c r="G17" s="33">
        <f>SUM(B17:F17)</f>
        <v/>
      </c>
      <c r="H17" s="2" t="inlineStr">
        <is>
          <t>fleet × 2.5KB + fleet × 12mo × 1.8KB movement</t>
        </is>
      </c>
    </row>
    <row r="18">
      <c r="A18" s="6" t="inlineStr">
        <is>
          <t>Contracts + bookings</t>
        </is>
      </c>
      <c r="B18" s="15">
        <f>B9*12*(2.8+1.8)/1024/1024</f>
        <v/>
      </c>
      <c r="C18" s="15">
        <f>C9*12*(2.8+1.8)/1024/1024</f>
        <v/>
      </c>
      <c r="D18" s="15">
        <f>D9*12*(2.8+1.8)/1024/1024</f>
        <v/>
      </c>
      <c r="E18" s="15">
        <f>E9*12*(2.8+1.8)/1024/1024</f>
        <v/>
      </c>
      <c r="F18" s="15">
        <f>F9*12*(2.8+1.8)/1024/1024</f>
        <v/>
      </c>
      <c r="G18" s="33">
        <f>SUM(B18:F18)</f>
        <v/>
      </c>
      <c r="H18" s="2" t="inlineStr">
        <is>
          <t>contracts/mo × 12 × (2.8+1.8) KB per booking+contract</t>
        </is>
      </c>
    </row>
    <row r="19">
      <c r="A19" s="6" t="inlineStr">
        <is>
          <t>Customers + KYC docs</t>
        </is>
      </c>
      <c r="B19" s="15">
        <f>(B13*2.0 + B13*0.5*1.5)/1024/1024</f>
        <v/>
      </c>
      <c r="C19" s="15">
        <f>(C13*2.0 + C13*0.5*1.5)/1024/1024</f>
        <v/>
      </c>
      <c r="D19" s="15">
        <f>(D13*2.0 + D13*0.5*1.5)/1024/1024</f>
        <v/>
      </c>
      <c r="E19" s="15">
        <f>(E13*2.0 + E13*0.5*1.5)/1024/1024</f>
        <v/>
      </c>
      <c r="F19" s="15">
        <f>(F13*2.0 + F13*0.5*1.5)/1024/1024</f>
        <v/>
      </c>
      <c r="G19" s="33">
        <f>SUM(B19:F19)</f>
        <v/>
      </c>
      <c r="H19" s="2" t="inlineStr">
        <is>
          <t>customers × 2KB + 50% have docs × 1.5KB</t>
        </is>
      </c>
    </row>
    <row r="20">
      <c r="A20" s="6" t="inlineStr">
        <is>
          <t>Invoices + payments + GL</t>
        </is>
      </c>
      <c r="B20" s="15">
        <f>B10*12*(1.5+1.2+3*0.8)/1024/1024</f>
        <v/>
      </c>
      <c r="C20" s="15">
        <f>C10*12*(1.5+1.2+3*0.8)/1024/1024</f>
        <v/>
      </c>
      <c r="D20" s="15">
        <f>D10*12*(1.5+1.2+3*0.8)/1024/1024</f>
        <v/>
      </c>
      <c r="E20" s="15">
        <f>E10*12*(1.5+1.2+3*0.8)/1024/1024</f>
        <v/>
      </c>
      <c r="F20" s="15">
        <f>F10*12*(1.5+1.2+3*0.8)/1024/1024</f>
        <v/>
      </c>
      <c r="G20" s="33">
        <f>SUM(B20:F20)</f>
        <v/>
      </c>
      <c r="H20" s="2" t="inlineStr">
        <is>
          <t>inv/mo × 12 × (1.5 inv + 1.2 pay + 2.4 journal KB)</t>
        </is>
      </c>
    </row>
    <row r="21">
      <c r="A21" s="6" t="inlineStr">
        <is>
          <t>TARS fines + Salik</t>
        </is>
      </c>
      <c r="B21" s="15">
        <f>(B11*12*1.0 + B11*2.5*12*0.7)/1024/1024</f>
        <v/>
      </c>
      <c r="C21" s="15">
        <f>(C11*12*1.0 + C11*2.5*12*0.7)/1024/1024</f>
        <v/>
      </c>
      <c r="D21" s="15">
        <f>(D11*12*1.0 + D11*2.5*12*0.7)/1024/1024</f>
        <v/>
      </c>
      <c r="E21" s="15">
        <f>(E11*12*1.0 + E11*2.5*12*0.7)/1024/1024</f>
        <v/>
      </c>
      <c r="F21" s="15">
        <f>(F11*12*1.0 + F11*2.5*12*0.7)/1024/1024</f>
        <v/>
      </c>
      <c r="G21" s="33">
        <f>SUM(B21:F21)</f>
        <v/>
      </c>
      <c r="H21" s="2" t="inlineStr">
        <is>
          <t>fines/mo × 12 × 1KB + salik (2.5× fines) × 0.7KB</t>
        </is>
      </c>
    </row>
    <row r="22">
      <c r="A22" s="6" t="inlineStr">
        <is>
          <t>HR + payroll + attendance</t>
        </is>
      </c>
      <c r="B22" s="15">
        <f>(B12*12*1.2 + B12*300*0.3)/1024/1024</f>
        <v/>
      </c>
      <c r="C22" s="15">
        <f>(C12*12*1.2 + C12*300*0.3)/1024/1024</f>
        <v/>
      </c>
      <c r="D22" s="15">
        <f>(D12*12*1.2 + D12*300*0.3)/1024/1024</f>
        <v/>
      </c>
      <c r="E22" s="15">
        <f>(E12*12*1.2 + E12*300*0.3)/1024/1024</f>
        <v/>
      </c>
      <c r="F22" s="15">
        <f>(F12*12*1.2 + F12*300*0.3)/1024/1024</f>
        <v/>
      </c>
      <c r="G22" s="33">
        <f>SUM(B22:F22)</f>
        <v/>
      </c>
      <c r="H22" s="2" t="inlineStr">
        <is>
          <t>emp × 12 salary recs + emp × 300 workdays × 0.3KB attend</t>
        </is>
      </c>
    </row>
    <row r="23">
      <c r="A23" s="6" t="inlineStr">
        <is>
          <t>Service + Recovery + Admin + Logs</t>
        </is>
      </c>
      <c r="B23" s="15">
        <f>(B8*2000*0.5)/1024/1024 + 0.3</f>
        <v/>
      </c>
      <c r="C23" s="15">
        <f>(C8*2000*0.5)/1024/1024 + 0.3</f>
        <v/>
      </c>
      <c r="D23" s="15">
        <f>(D8*2000*0.5)/1024/1024 + 0.3</f>
        <v/>
      </c>
      <c r="E23" s="15">
        <f>(E8*2000*0.5)/1024/1024 + 0.3</f>
        <v/>
      </c>
      <c r="F23" s="15">
        <f>(F8*2000*0.5)/1024/1024 + 0.3</f>
        <v/>
      </c>
      <c r="G23" s="33">
        <f>SUM(B23:F23)</f>
        <v/>
      </c>
      <c r="H23" s="2" t="inlineStr">
        <is>
          <t>users × 2000 actions × 0.5KB logs + 0.3GB baseline</t>
        </is>
      </c>
    </row>
    <row r="24">
      <c r="A24" s="6" t="inlineStr">
        <is>
          <t>Index overhead (40%)</t>
        </is>
      </c>
      <c r="B24" s="15">
        <f>SUM(B17:B23)*0.4</f>
        <v/>
      </c>
      <c r="C24" s="15">
        <f>SUM(C17:C23)*0.4</f>
        <v/>
      </c>
      <c r="D24" s="15">
        <f>SUM(D17:D23)*0.4</f>
        <v/>
      </c>
      <c r="E24" s="15">
        <f>SUM(E17:E23)*0.4</f>
        <v/>
      </c>
      <c r="F24" s="15">
        <f>SUM(F17:F23)*0.4</f>
        <v/>
      </c>
      <c r="G24" s="33">
        <f>SUM(B24:F24)</f>
        <v/>
      </c>
      <c r="H24" s="2" t="inlineStr">
        <is>
          <t>628 indexes — ~40% overhead is typical for write-heavy ERP</t>
        </is>
      </c>
    </row>
    <row r="25">
      <c r="A25" s="34" t="inlineStr">
        <is>
          <t>TOTAL STORAGE (GB)</t>
        </is>
      </c>
      <c r="B25" s="35">
        <f>SUM(B17:B24)</f>
        <v/>
      </c>
      <c r="C25" s="35">
        <f>SUM(C17:C24)</f>
        <v/>
      </c>
      <c r="D25" s="35">
        <f>SUM(D17:D24)</f>
        <v/>
      </c>
      <c r="E25" s="35">
        <f>SUM(E17:E24)</f>
        <v/>
      </c>
      <c r="F25" s="35">
        <f>SUM(F17:F24)</f>
        <v/>
      </c>
      <c r="G25" s="18">
        <f>SUM(B25:F25)</f>
        <v/>
      </c>
    </row>
    <row r="27">
      <c r="A27" s="3" t="inlineStr">
        <is>
          <t>MONTHLY COST PER CLIENT (Option A: Starter — Neon Launch + Render Standard)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5" t="inlineStr">
        <is>
          <t>Cost Component</t>
        </is>
      </c>
      <c r="B28" s="5" t="inlineStr">
        <is>
          <t>Company A</t>
        </is>
      </c>
      <c r="C28" s="5" t="inlineStr">
        <is>
          <t>Company B</t>
        </is>
      </c>
      <c r="D28" s="5" t="inlineStr">
        <is>
          <t>Company C</t>
        </is>
      </c>
      <c r="E28" s="5" t="inlineStr">
        <is>
          <t>Company D</t>
        </is>
      </c>
      <c r="F28" s="5" t="inlineStr">
        <is>
          <t>Company E</t>
        </is>
      </c>
      <c r="G28" s="5" t="inlineStr">
        <is>
          <t>TOTAL</t>
        </is>
      </c>
      <c r="H28" s="5" t="inlineStr">
        <is>
          <t>How Calculated</t>
        </is>
      </c>
    </row>
    <row r="29">
      <c r="A29" s="6" t="inlineStr">
        <is>
          <t>Neon Storage</t>
        </is>
      </c>
      <c r="B29" s="22">
        <f>B25*'Unit Prices'!B7</f>
        <v/>
      </c>
      <c r="C29" s="22">
        <f>C25*'Unit Prices'!B7</f>
        <v/>
      </c>
      <c r="D29" s="22">
        <f>D25*'Unit Prices'!B7</f>
        <v/>
      </c>
      <c r="E29" s="22">
        <f>E25*'Unit Prices'!B7</f>
        <v/>
      </c>
      <c r="F29" s="22">
        <f>F25*'Unit Prices'!B7</f>
        <v/>
      </c>
      <c r="G29" s="36">
        <f>SUM(B29:F29)</f>
        <v/>
      </c>
      <c r="H29" s="2" t="inlineStr">
        <is>
          <t>Client GB × $0.35/GB-month</t>
        </is>
      </c>
    </row>
    <row r="30">
      <c r="A30" s="6" t="inlineStr">
        <is>
          <t>Neon Compute (by user share)</t>
        </is>
      </c>
      <c r="B30" s="22">
        <f>(B8/G8)*'Compute Usage'!F15</f>
        <v/>
      </c>
      <c r="C30" s="22">
        <f>(C8/G8)*'Compute Usage'!F15</f>
        <v/>
      </c>
      <c r="D30" s="22">
        <f>(D8/G8)*'Compute Usage'!F15</f>
        <v/>
      </c>
      <c r="E30" s="22">
        <f>(E8/G8)*'Compute Usage'!F15</f>
        <v/>
      </c>
      <c r="F30" s="22">
        <f>(F8/G8)*'Compute Usage'!F15</f>
        <v/>
      </c>
      <c r="G30" s="36">
        <f>SUM(B30:F30)</f>
        <v/>
      </c>
      <c r="H30" s="2" t="inlineStr">
        <is>
          <t>(client users ÷ total users) × total compute cost</t>
        </is>
      </c>
    </row>
    <row r="31">
      <c r="A31" s="6" t="inlineStr">
        <is>
          <t>Neon Instant Restore</t>
        </is>
      </c>
      <c r="B31" s="22">
        <f>(B25/G25)*5*'Unit Prices'!B8</f>
        <v/>
      </c>
      <c r="C31" s="22">
        <f>(C25/G25)*5*'Unit Prices'!B8</f>
        <v/>
      </c>
      <c r="D31" s="22">
        <f>(D25/G25)*5*'Unit Prices'!B8</f>
        <v/>
      </c>
      <c r="E31" s="22">
        <f>(E25/G25)*5*'Unit Prices'!B8</f>
        <v/>
      </c>
      <c r="F31" s="22">
        <f>(F25/G25)*5*'Unit Prices'!B8</f>
        <v/>
      </c>
      <c r="G31" s="36">
        <f>SUM(B31:F31)</f>
        <v/>
      </c>
      <c r="H31" s="2" t="inlineStr">
        <is>
          <t>(client storage ÷ total) × 5GB changes × $0.20</t>
        </is>
      </c>
    </row>
    <row r="32">
      <c r="A32" s="6" t="inlineStr">
        <is>
          <t>Render Backend (by user share)</t>
        </is>
      </c>
      <c r="B32" s="22">
        <f>(B8/G8)*'Unit Prices'!B16</f>
        <v/>
      </c>
      <c r="C32" s="22">
        <f>(C8/G8)*'Unit Prices'!B16</f>
        <v/>
      </c>
      <c r="D32" s="22">
        <f>(D8/G8)*'Unit Prices'!B16</f>
        <v/>
      </c>
      <c r="E32" s="22">
        <f>(E8/G8)*'Unit Prices'!B16</f>
        <v/>
      </c>
      <c r="F32" s="22">
        <f>(F8/G8)*'Unit Prices'!B16</f>
        <v/>
      </c>
      <c r="G32" s="36">
        <f>SUM(B32:F32)</f>
        <v/>
      </c>
      <c r="H32" s="2" t="inlineStr">
        <is>
          <t>(client users ÷ total) × $25 Standard instance</t>
        </is>
      </c>
    </row>
    <row r="33">
      <c r="A33" s="6" t="inlineStr">
        <is>
          <t>Render Worker (split evenly)</t>
        </is>
      </c>
      <c r="B33" s="22">
        <f>'Unit Prices'!B15/5</f>
        <v/>
      </c>
      <c r="C33" s="22">
        <f>'Unit Prices'!B15/5</f>
        <v/>
      </c>
      <c r="D33" s="22">
        <f>'Unit Prices'!B15/5</f>
        <v/>
      </c>
      <c r="E33" s="22">
        <f>'Unit Prices'!B15/5</f>
        <v/>
      </c>
      <c r="F33" s="22">
        <f>'Unit Prices'!B15/5</f>
        <v/>
      </c>
      <c r="G33" s="36">
        <f>SUM(B33:F33)</f>
        <v/>
      </c>
      <c r="H33" s="2" t="inlineStr">
        <is>
          <t>$7 Starter ÷ 5 companies</t>
        </is>
      </c>
    </row>
    <row r="34">
      <c r="A34" s="6" t="inlineStr">
        <is>
          <t>Render Frontend (split evenly)</t>
        </is>
      </c>
      <c r="B34" s="22" t="n">
        <v>0</v>
      </c>
      <c r="C34" s="22" t="n">
        <v>0</v>
      </c>
      <c r="D34" s="22" t="n">
        <v>0</v>
      </c>
      <c r="E34" s="22" t="n">
        <v>0</v>
      </c>
      <c r="F34" s="22" t="n">
        <v>0</v>
      </c>
      <c r="G34" s="36" t="n">
        <v>0</v>
      </c>
      <c r="H34" s="2" t="inlineStr">
        <is>
          <t>Static site = free</t>
        </is>
      </c>
    </row>
    <row r="35">
      <c r="A35" s="17" t="inlineStr">
        <is>
          <t>TOTAL COST / MONTH</t>
        </is>
      </c>
      <c r="B35" s="37">
        <f>B29+B30+B31+B32+B33+B34</f>
        <v/>
      </c>
      <c r="C35" s="37">
        <f>C29+C30+C31+C32+C33+C34</f>
        <v/>
      </c>
      <c r="D35" s="37">
        <f>D29+D30+D31+D32+D33+D34</f>
        <v/>
      </c>
      <c r="E35" s="37">
        <f>E29+E30+E31+E32+E33+E34</f>
        <v/>
      </c>
      <c r="F35" s="37">
        <f>F29+F30+F31+F32+F33+F34</f>
        <v/>
      </c>
      <c r="G35" s="37">
        <f>SUM(B35:F35)</f>
        <v/>
      </c>
    </row>
    <row r="36">
      <c r="A36" s="11" t="inlineStr">
        <is>
          <t>TOTAL COST / YEAR</t>
        </is>
      </c>
      <c r="B36" s="31">
        <f>B35*12</f>
        <v/>
      </c>
      <c r="C36" s="31">
        <f>C35*12</f>
        <v/>
      </c>
      <c r="D36" s="31">
        <f>D35*12</f>
        <v/>
      </c>
      <c r="E36" s="31">
        <f>E35*12</f>
        <v/>
      </c>
      <c r="F36" s="31">
        <f>F35*12</f>
        <v/>
      </c>
      <c r="G36" s="31">
        <f>SUM(B36:F36)</f>
        <v/>
      </c>
    </row>
    <row r="38">
      <c r="A38" s="3" t="inlineStr">
        <is>
          <t>COST SHARE (%) — who's using what portion of the infrastructure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5" t="inlineStr">
        <is>
          <t>Metric</t>
        </is>
      </c>
      <c r="B39" s="5" t="inlineStr">
        <is>
          <t>Company A</t>
        </is>
      </c>
      <c r="C39" s="5" t="inlineStr">
        <is>
          <t>Company B</t>
        </is>
      </c>
      <c r="D39" s="5" t="inlineStr">
        <is>
          <t>Company C</t>
        </is>
      </c>
      <c r="E39" s="5" t="inlineStr">
        <is>
          <t>Company D</t>
        </is>
      </c>
      <c r="F39" s="5" t="inlineStr">
        <is>
          <t>Company E</t>
        </is>
      </c>
      <c r="G39" s="5" t="inlineStr">
        <is>
          <t>TOTAL</t>
        </is>
      </c>
      <c r="H39" s="5" t="inlineStr"/>
    </row>
    <row r="40">
      <c r="A40" s="6" t="inlineStr">
        <is>
          <t>% of total cost</t>
        </is>
      </c>
      <c r="B40" s="38">
        <f>B35/G35</f>
        <v/>
      </c>
      <c r="C40" s="38">
        <f>C35/G35</f>
        <v/>
      </c>
      <c r="D40" s="38">
        <f>D35/G35</f>
        <v/>
      </c>
      <c r="E40" s="38">
        <f>E35/G35</f>
        <v/>
      </c>
      <c r="F40" s="38">
        <f>F35/G35</f>
        <v/>
      </c>
      <c r="G40" s="39">
        <f>SUM(B40:F40)</f>
        <v/>
      </c>
    </row>
    <row r="41">
      <c r="A41" s="6" t="inlineStr">
        <is>
          <t>% of storage</t>
        </is>
      </c>
      <c r="B41" s="38">
        <f>B25/G25</f>
        <v/>
      </c>
      <c r="C41" s="38">
        <f>C25/G25</f>
        <v/>
      </c>
      <c r="D41" s="38">
        <f>D25/G25</f>
        <v/>
      </c>
      <c r="E41" s="38">
        <f>E25/G25</f>
        <v/>
      </c>
      <c r="F41" s="38">
        <f>F25/G25</f>
        <v/>
      </c>
      <c r="G41" s="39">
        <f>SUM(B41:F41)</f>
        <v/>
      </c>
    </row>
    <row r="42">
      <c r="A42" s="6" t="inlineStr">
        <is>
          <t>% of compute (by users)</t>
        </is>
      </c>
      <c r="B42" s="38">
        <f>B8/G8</f>
        <v/>
      </c>
      <c r="C42" s="38">
        <f>C8/G8</f>
        <v/>
      </c>
      <c r="D42" s="38">
        <f>D8/G8</f>
        <v/>
      </c>
      <c r="E42" s="38">
        <f>E8/G8</f>
        <v/>
      </c>
      <c r="F42" s="38">
        <f>F8/G8</f>
        <v/>
      </c>
      <c r="G42" s="39">
        <f>SUM(B42:F42)</f>
        <v/>
      </c>
    </row>
    <row r="44">
      <c r="A44" s="40" t="inlineStr">
        <is>
          <t>💡 Edit the yellow profile cells above to match real client data. Storage, compute share, and costs all recalculate.</t>
        </is>
      </c>
    </row>
  </sheetData>
  <mergeCells count="6">
    <mergeCell ref="A4:H4"/>
    <mergeCell ref="A15:H15"/>
    <mergeCell ref="A38:H38"/>
    <mergeCell ref="A44:H44"/>
    <mergeCell ref="A1:H1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2026-01-31T07:55:13Z</dcterms:created>
  <dcterms:modified xmlns:dcterms="http://purl.org/dc/terms/" xmlns:xsi="http://www.w3.org/2001/XMLSchema-instance" xsi:type="dcterms:W3CDTF">2026-01-31T07:55:13Z</dcterms:modified>
</cp:coreProperties>
</file>